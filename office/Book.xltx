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k\OneDrive\repos\github.com\yuzucha16\dotfiles\office\"/>
    </mc:Choice>
  </mc:AlternateContent>
  <xr:revisionPtr revIDLastSave="0" documentId="13_ncr:11_{BD2C300D-0649-4ABA-9225-EA5FC1B39858}" xr6:coauthVersionLast="47" xr6:coauthVersionMax="47" xr10:uidLastSave="{00000000-0000-0000-0000-000000000000}"/>
  <bookViews>
    <workbookView xWindow="-108" yWindow="-108" windowWidth="23256" windowHeight="13896" xr2:uid="{640DD344-2293-45BA-A5DC-1D44DEC369F9}"/>
  </bookViews>
  <sheets>
    <sheet name="表1" sheetId="1" r:id="rId1"/>
    <sheet name="表2" sheetId="6" r:id="rId2"/>
    <sheet name="表3" sheetId="7" r:id="rId3"/>
    <sheet name="名簿1" sheetId="2" r:id="rId4"/>
    <sheet name="罫線1" sheetId="4" r:id="rId5"/>
    <sheet name="罫線2" sheetId="3" r:id="rId6"/>
    <sheet name="W_カレンダー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6" l="1"/>
  <c r="H11" i="6" s="1"/>
  <c r="I11" i="6" s="1"/>
  <c r="F11" i="6"/>
  <c r="G10" i="6"/>
  <c r="H10" i="6" s="1"/>
  <c r="I10" i="6" s="1"/>
  <c r="F10" i="6"/>
  <c r="G9" i="6"/>
  <c r="H9" i="6"/>
  <c r="I9" i="6" s="1"/>
  <c r="F9" i="6"/>
  <c r="G7" i="6"/>
  <c r="H7" i="6"/>
  <c r="I7" i="6"/>
  <c r="G8" i="6"/>
  <c r="H8" i="6" s="1"/>
  <c r="I8" i="6" s="1"/>
  <c r="F8" i="6"/>
  <c r="F7" i="6"/>
  <c r="G6" i="6"/>
  <c r="H6" i="6" s="1"/>
  <c r="I6" i="6" s="1"/>
  <c r="F6" i="6"/>
  <c r="G5" i="6"/>
  <c r="H5" i="6" s="1"/>
  <c r="I5" i="6" s="1"/>
  <c r="F5" i="6"/>
  <c r="E153" i="5"/>
  <c r="E185" i="5"/>
  <c r="E202" i="5"/>
  <c r="E203" i="5"/>
  <c r="E207" i="5"/>
  <c r="E208" i="5"/>
  <c r="E224" i="5"/>
  <c r="E331" i="5"/>
  <c r="E332" i="5"/>
  <c r="E333" i="5"/>
  <c r="E334" i="5"/>
  <c r="E377" i="5"/>
  <c r="E400" i="5"/>
  <c r="E402" i="5"/>
  <c r="E505" i="5"/>
  <c r="E509" i="5"/>
  <c r="E526" i="5"/>
  <c r="E527" i="5"/>
  <c r="E528" i="5"/>
  <c r="E529" i="5"/>
  <c r="E562" i="5"/>
  <c r="E697" i="5"/>
  <c r="E716" i="5"/>
  <c r="E719" i="5"/>
  <c r="E738" i="5"/>
  <c r="E744" i="5"/>
  <c r="E745" i="5"/>
  <c r="E827" i="5"/>
  <c r="E828" i="5"/>
  <c r="E873" i="5"/>
  <c r="E880" i="5"/>
  <c r="E881" i="5"/>
  <c r="E882" i="5"/>
  <c r="E920" i="5"/>
  <c r="E953" i="5"/>
  <c r="E990" i="5"/>
  <c r="E1002" i="5"/>
  <c r="E1003" i="5"/>
  <c r="E1010" i="5"/>
  <c r="E1016" i="5"/>
  <c r="E1112" i="5"/>
  <c r="E1113" i="5"/>
  <c r="E1114" i="5"/>
  <c r="E1129" i="5"/>
  <c r="E1138" i="5"/>
  <c r="E1154" i="5"/>
  <c r="E1178" i="5"/>
  <c r="E1224" i="5"/>
  <c r="E1225" i="5"/>
  <c r="E1241" i="5"/>
  <c r="E1242" i="5"/>
  <c r="E1243" i="5"/>
  <c r="E1244" i="5"/>
  <c r="E1245" i="5"/>
  <c r="E1250" i="5"/>
  <c r="E1305" i="5"/>
  <c r="E1306" i="5"/>
  <c r="E1307" i="5"/>
  <c r="E1336" i="5"/>
  <c r="E1346" i="5"/>
  <c r="E1362" i="5"/>
  <c r="E1384" i="5"/>
  <c r="E1415" i="5"/>
  <c r="E1416" i="5"/>
  <c r="E1426" i="5"/>
  <c r="E1464" i="5"/>
  <c r="E1494" i="5"/>
  <c r="E1542" i="5"/>
  <c r="E1574" i="5"/>
  <c r="E1575" i="5"/>
  <c r="E1592" i="5"/>
  <c r="E1625" i="5"/>
  <c r="E1654" i="5"/>
  <c r="E1655" i="5"/>
  <c r="E1657" i="5"/>
  <c r="E1692" i="5"/>
  <c r="E1702" i="5"/>
  <c r="E1703" i="5"/>
  <c r="E1704" i="5"/>
  <c r="E1719" i="5"/>
  <c r="E1720" i="5"/>
  <c r="E1721" i="5"/>
  <c r="E1768" i="5"/>
  <c r="E1782" i="5"/>
  <c r="E1793" i="5"/>
  <c r="E1794" i="5"/>
  <c r="E1818" i="5"/>
  <c r="E1820" i="5"/>
  <c r="E1821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D56" i="5" s="1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D152" i="5" s="1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D168" i="5" s="1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D232" i="5" s="1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D264" i="5" s="1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D344" i="5" s="1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D392" i="5" s="1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D408" i="5" s="1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D568" i="5" s="1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D1175" i="5" s="1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D1446" i="5" s="1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B2" i="5"/>
  <c r="D2" i="5" s="1"/>
  <c r="B3" i="5"/>
  <c r="B4" i="5"/>
  <c r="B5" i="5"/>
  <c r="B6" i="5"/>
  <c r="E6" i="5" s="1"/>
  <c r="B7" i="5"/>
  <c r="E7" i="5" s="1"/>
  <c r="B8" i="5"/>
  <c r="E8" i="5" s="1"/>
  <c r="B9" i="5"/>
  <c r="E9" i="5" s="1"/>
  <c r="B10" i="5"/>
  <c r="B11" i="5"/>
  <c r="B12" i="5"/>
  <c r="B13" i="5"/>
  <c r="B14" i="5"/>
  <c r="B15" i="5"/>
  <c r="B16" i="5"/>
  <c r="E16" i="5" s="1"/>
  <c r="B17" i="5"/>
  <c r="B18" i="5"/>
  <c r="D18" i="5" s="1"/>
  <c r="B19" i="5"/>
  <c r="B20" i="5"/>
  <c r="B21" i="5"/>
  <c r="B22" i="5"/>
  <c r="E22" i="5" s="1"/>
  <c r="B23" i="5"/>
  <c r="E23" i="5" s="1"/>
  <c r="B24" i="5"/>
  <c r="E24" i="5" s="1"/>
  <c r="B25" i="5"/>
  <c r="E25" i="5" s="1"/>
  <c r="B26" i="5"/>
  <c r="B27" i="5"/>
  <c r="B28" i="5"/>
  <c r="B29" i="5"/>
  <c r="B30" i="5"/>
  <c r="B31" i="5"/>
  <c r="B32" i="5"/>
  <c r="E32" i="5" s="1"/>
  <c r="B33" i="5"/>
  <c r="B34" i="5"/>
  <c r="B35" i="5"/>
  <c r="B36" i="5"/>
  <c r="B37" i="5"/>
  <c r="B38" i="5"/>
  <c r="E38" i="5" s="1"/>
  <c r="B39" i="5"/>
  <c r="E39" i="5" s="1"/>
  <c r="B40" i="5"/>
  <c r="B41" i="5"/>
  <c r="E41" i="5" s="1"/>
  <c r="B42" i="5"/>
  <c r="B43" i="5"/>
  <c r="B44" i="5"/>
  <c r="B45" i="5"/>
  <c r="B46" i="5"/>
  <c r="B47" i="5"/>
  <c r="B48" i="5"/>
  <c r="E48" i="5" s="1"/>
  <c r="B49" i="5"/>
  <c r="B50" i="5"/>
  <c r="D50" i="5" s="1"/>
  <c r="B51" i="5"/>
  <c r="B52" i="5"/>
  <c r="B53" i="5"/>
  <c r="B54" i="5"/>
  <c r="E54" i="5" s="1"/>
  <c r="B55" i="5"/>
  <c r="E55" i="5" s="1"/>
  <c r="B56" i="5"/>
  <c r="E56" i="5" s="1"/>
  <c r="B57" i="5"/>
  <c r="E57" i="5" s="1"/>
  <c r="B58" i="5"/>
  <c r="B59" i="5"/>
  <c r="B60" i="5"/>
  <c r="B61" i="5"/>
  <c r="B62" i="5"/>
  <c r="B63" i="5"/>
  <c r="B64" i="5"/>
  <c r="E64" i="5" s="1"/>
  <c r="B65" i="5"/>
  <c r="B66" i="5"/>
  <c r="D66" i="5" s="1"/>
  <c r="B67" i="5"/>
  <c r="B68" i="5"/>
  <c r="B69" i="5"/>
  <c r="E69" i="5" s="1"/>
  <c r="B70" i="5"/>
  <c r="E70" i="5" s="1"/>
  <c r="B71" i="5"/>
  <c r="E71" i="5" s="1"/>
  <c r="B72" i="5"/>
  <c r="E72" i="5" s="1"/>
  <c r="B73" i="5"/>
  <c r="E73" i="5" s="1"/>
  <c r="B74" i="5"/>
  <c r="B75" i="5"/>
  <c r="B76" i="5"/>
  <c r="B77" i="5"/>
  <c r="B78" i="5"/>
  <c r="D78" i="5" s="1"/>
  <c r="B79" i="5"/>
  <c r="B80" i="5"/>
  <c r="B81" i="5"/>
  <c r="B82" i="5"/>
  <c r="B83" i="5"/>
  <c r="B84" i="5"/>
  <c r="B85" i="5"/>
  <c r="B86" i="5"/>
  <c r="E86" i="5" s="1"/>
  <c r="B87" i="5"/>
  <c r="E87" i="5" s="1"/>
  <c r="B88" i="5"/>
  <c r="E88" i="5" s="1"/>
  <c r="B89" i="5"/>
  <c r="E89" i="5" s="1"/>
  <c r="B90" i="5"/>
  <c r="B91" i="5"/>
  <c r="B92" i="5"/>
  <c r="E92" i="5" s="1"/>
  <c r="B93" i="5"/>
  <c r="B94" i="5"/>
  <c r="B95" i="5"/>
  <c r="B96" i="5"/>
  <c r="E96" i="5" s="1"/>
  <c r="B97" i="5"/>
  <c r="B98" i="5"/>
  <c r="D98" i="5" s="1"/>
  <c r="B99" i="5"/>
  <c r="B100" i="5"/>
  <c r="B101" i="5"/>
  <c r="B102" i="5"/>
  <c r="E102" i="5" s="1"/>
  <c r="B103" i="5"/>
  <c r="E103" i="5" s="1"/>
  <c r="B104" i="5"/>
  <c r="E104" i="5" s="1"/>
  <c r="B105" i="5"/>
  <c r="E105" i="5" s="1"/>
  <c r="B106" i="5"/>
  <c r="B107" i="5"/>
  <c r="B108" i="5"/>
  <c r="B109" i="5"/>
  <c r="B110" i="5"/>
  <c r="B111" i="5"/>
  <c r="B112" i="5"/>
  <c r="E112" i="5" s="1"/>
  <c r="B113" i="5"/>
  <c r="B114" i="5"/>
  <c r="D114" i="5" s="1"/>
  <c r="B115" i="5"/>
  <c r="B116" i="5"/>
  <c r="B117" i="5"/>
  <c r="B118" i="5"/>
  <c r="E118" i="5" s="1"/>
  <c r="B119" i="5"/>
  <c r="E119" i="5" s="1"/>
  <c r="B120" i="5"/>
  <c r="B121" i="5"/>
  <c r="E121" i="5" s="1"/>
  <c r="B122" i="5"/>
  <c r="B123" i="5"/>
  <c r="B124" i="5"/>
  <c r="B125" i="5"/>
  <c r="B126" i="5"/>
  <c r="D126" i="5" s="1"/>
  <c r="B127" i="5"/>
  <c r="B128" i="5"/>
  <c r="E128" i="5" s="1"/>
  <c r="B129" i="5"/>
  <c r="B130" i="5"/>
  <c r="D130" i="5" s="1"/>
  <c r="B131" i="5"/>
  <c r="B132" i="5"/>
  <c r="B133" i="5"/>
  <c r="B134" i="5"/>
  <c r="E134" i="5" s="1"/>
  <c r="B135" i="5"/>
  <c r="E135" i="5" s="1"/>
  <c r="B136" i="5"/>
  <c r="E136" i="5" s="1"/>
  <c r="B137" i="5"/>
  <c r="E137" i="5" s="1"/>
  <c r="B138" i="5"/>
  <c r="B139" i="5"/>
  <c r="B140" i="5"/>
  <c r="B141" i="5"/>
  <c r="B142" i="5"/>
  <c r="D142" i="5" s="1"/>
  <c r="B143" i="5"/>
  <c r="B144" i="5"/>
  <c r="E144" i="5" s="1"/>
  <c r="B145" i="5"/>
  <c r="B146" i="5"/>
  <c r="D146" i="5" s="1"/>
  <c r="B147" i="5"/>
  <c r="B148" i="5"/>
  <c r="B149" i="5"/>
  <c r="B150" i="5"/>
  <c r="E150" i="5" s="1"/>
  <c r="B151" i="5"/>
  <c r="E151" i="5" s="1"/>
  <c r="B152" i="5"/>
  <c r="E152" i="5" s="1"/>
  <c r="B153" i="5"/>
  <c r="B154" i="5"/>
  <c r="B155" i="5"/>
  <c r="B156" i="5"/>
  <c r="B157" i="5"/>
  <c r="B158" i="5"/>
  <c r="B159" i="5"/>
  <c r="B160" i="5"/>
  <c r="E160" i="5" s="1"/>
  <c r="B161" i="5"/>
  <c r="B162" i="5"/>
  <c r="B163" i="5"/>
  <c r="B164" i="5"/>
  <c r="E164" i="5" s="1"/>
  <c r="B165" i="5"/>
  <c r="E165" i="5" s="1"/>
  <c r="B166" i="5"/>
  <c r="E166" i="5" s="1"/>
  <c r="B167" i="5"/>
  <c r="E167" i="5" s="1"/>
  <c r="B168" i="5"/>
  <c r="E168" i="5" s="1"/>
  <c r="B169" i="5"/>
  <c r="E169" i="5" s="1"/>
  <c r="B170" i="5"/>
  <c r="B171" i="5"/>
  <c r="B172" i="5"/>
  <c r="B173" i="5"/>
  <c r="B174" i="5"/>
  <c r="B175" i="5"/>
  <c r="B176" i="5"/>
  <c r="E176" i="5" s="1"/>
  <c r="B177" i="5"/>
  <c r="B178" i="5"/>
  <c r="D178" i="5" s="1"/>
  <c r="B179" i="5"/>
  <c r="E179" i="5" s="1"/>
  <c r="B180" i="5"/>
  <c r="E180" i="5" s="1"/>
  <c r="B181" i="5"/>
  <c r="B182" i="5"/>
  <c r="E182" i="5" s="1"/>
  <c r="B183" i="5"/>
  <c r="E183" i="5" s="1"/>
  <c r="B184" i="5"/>
  <c r="E184" i="5" s="1"/>
  <c r="B185" i="5"/>
  <c r="B186" i="5"/>
  <c r="E186" i="5" s="1"/>
  <c r="B187" i="5"/>
  <c r="B188" i="5"/>
  <c r="B189" i="5"/>
  <c r="B190" i="5"/>
  <c r="B191" i="5"/>
  <c r="B192" i="5"/>
  <c r="E192" i="5" s="1"/>
  <c r="B193" i="5"/>
  <c r="B194" i="5"/>
  <c r="D194" i="5" s="1"/>
  <c r="B195" i="5"/>
  <c r="B196" i="5"/>
  <c r="B197" i="5"/>
  <c r="B198" i="5"/>
  <c r="E198" i="5" s="1"/>
  <c r="B199" i="5"/>
  <c r="E199" i="5" s="1"/>
  <c r="B200" i="5"/>
  <c r="E200" i="5" s="1"/>
  <c r="B201" i="5"/>
  <c r="E201" i="5" s="1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E214" i="5" s="1"/>
  <c r="B215" i="5"/>
  <c r="E215" i="5" s="1"/>
  <c r="B216" i="5"/>
  <c r="E216" i="5" s="1"/>
  <c r="B217" i="5"/>
  <c r="E217" i="5" s="1"/>
  <c r="B218" i="5"/>
  <c r="B219" i="5"/>
  <c r="B220" i="5"/>
  <c r="B221" i="5"/>
  <c r="B222" i="5"/>
  <c r="B223" i="5"/>
  <c r="B224" i="5"/>
  <c r="B225" i="5"/>
  <c r="B226" i="5"/>
  <c r="D226" i="5" s="1"/>
  <c r="B227" i="5"/>
  <c r="B228" i="5"/>
  <c r="B229" i="5"/>
  <c r="E229" i="5" s="1"/>
  <c r="B230" i="5"/>
  <c r="E230" i="5" s="1"/>
  <c r="B231" i="5"/>
  <c r="E231" i="5" s="1"/>
  <c r="B232" i="5"/>
  <c r="E232" i="5" s="1"/>
  <c r="B233" i="5"/>
  <c r="E233" i="5" s="1"/>
  <c r="B234" i="5"/>
  <c r="B235" i="5"/>
  <c r="B236" i="5"/>
  <c r="B237" i="5"/>
  <c r="E237" i="5" s="1"/>
  <c r="B238" i="5"/>
  <c r="B239" i="5"/>
  <c r="B240" i="5"/>
  <c r="E240" i="5" s="1"/>
  <c r="B241" i="5"/>
  <c r="B242" i="5"/>
  <c r="D242" i="5" s="1"/>
  <c r="B243" i="5"/>
  <c r="B244" i="5"/>
  <c r="B245" i="5"/>
  <c r="B246" i="5"/>
  <c r="E246" i="5" s="1"/>
  <c r="B247" i="5"/>
  <c r="E247" i="5" s="1"/>
  <c r="B248" i="5"/>
  <c r="E248" i="5" s="1"/>
  <c r="B249" i="5"/>
  <c r="E249" i="5" s="1"/>
  <c r="B250" i="5"/>
  <c r="B251" i="5"/>
  <c r="B252" i="5"/>
  <c r="B253" i="5"/>
  <c r="E253" i="5" s="1"/>
  <c r="B254" i="5"/>
  <c r="D254" i="5" s="1"/>
  <c r="B255" i="5"/>
  <c r="B256" i="5"/>
  <c r="E256" i="5" s="1"/>
  <c r="B257" i="5"/>
  <c r="B258" i="5"/>
  <c r="D258" i="5" s="1"/>
  <c r="B259" i="5"/>
  <c r="B260" i="5"/>
  <c r="B261" i="5"/>
  <c r="B262" i="5"/>
  <c r="E262" i="5" s="1"/>
  <c r="B263" i="5"/>
  <c r="E263" i="5" s="1"/>
  <c r="B264" i="5"/>
  <c r="E264" i="5" s="1"/>
  <c r="B265" i="5"/>
  <c r="E265" i="5" s="1"/>
  <c r="B266" i="5"/>
  <c r="B267" i="5"/>
  <c r="B268" i="5"/>
  <c r="B269" i="5"/>
  <c r="B270" i="5"/>
  <c r="B271" i="5"/>
  <c r="B272" i="5"/>
  <c r="E272" i="5" s="1"/>
  <c r="B273" i="5"/>
  <c r="B274" i="5"/>
  <c r="D274" i="5" s="1"/>
  <c r="B275" i="5"/>
  <c r="B276" i="5"/>
  <c r="B277" i="5"/>
  <c r="B278" i="5"/>
  <c r="E278" i="5" s="1"/>
  <c r="B279" i="5"/>
  <c r="E279" i="5" s="1"/>
  <c r="B280" i="5"/>
  <c r="B281" i="5"/>
  <c r="E281" i="5" s="1"/>
  <c r="B282" i="5"/>
  <c r="B283" i="5"/>
  <c r="B284" i="5"/>
  <c r="B285" i="5"/>
  <c r="B286" i="5"/>
  <c r="B287" i="5"/>
  <c r="B288" i="5"/>
  <c r="E288" i="5" s="1"/>
  <c r="B289" i="5"/>
  <c r="B290" i="5"/>
  <c r="B291" i="5"/>
  <c r="B292" i="5"/>
  <c r="B293" i="5"/>
  <c r="E293" i="5" s="1"/>
  <c r="B294" i="5"/>
  <c r="E294" i="5" s="1"/>
  <c r="B295" i="5"/>
  <c r="E295" i="5" s="1"/>
  <c r="B296" i="5"/>
  <c r="E296" i="5" s="1"/>
  <c r="B297" i="5"/>
  <c r="E297" i="5" s="1"/>
  <c r="B298" i="5"/>
  <c r="B299" i="5"/>
  <c r="B300" i="5"/>
  <c r="B301" i="5"/>
  <c r="B302" i="5"/>
  <c r="B303" i="5"/>
  <c r="B304" i="5"/>
  <c r="E304" i="5" s="1"/>
  <c r="B305" i="5"/>
  <c r="B306" i="5"/>
  <c r="D306" i="5" s="1"/>
  <c r="B307" i="5"/>
  <c r="B308" i="5"/>
  <c r="B309" i="5"/>
  <c r="B310" i="5"/>
  <c r="E310" i="5" s="1"/>
  <c r="B311" i="5"/>
  <c r="E311" i="5" s="1"/>
  <c r="B312" i="5"/>
  <c r="E312" i="5" s="1"/>
  <c r="B313" i="5"/>
  <c r="E313" i="5" s="1"/>
  <c r="B314" i="5"/>
  <c r="B315" i="5"/>
  <c r="B316" i="5"/>
  <c r="B317" i="5"/>
  <c r="B318" i="5"/>
  <c r="B319" i="5"/>
  <c r="B320" i="5"/>
  <c r="B321" i="5"/>
  <c r="B322" i="5"/>
  <c r="D322" i="5" s="1"/>
  <c r="B323" i="5"/>
  <c r="B324" i="5"/>
  <c r="B325" i="5"/>
  <c r="B326" i="5"/>
  <c r="E326" i="5" s="1"/>
  <c r="B327" i="5"/>
  <c r="E327" i="5" s="1"/>
  <c r="B328" i="5"/>
  <c r="E328" i="5" s="1"/>
  <c r="B329" i="5"/>
  <c r="E329" i="5" s="1"/>
  <c r="B330" i="5"/>
  <c r="E330" i="5" s="1"/>
  <c r="B331" i="5"/>
  <c r="B332" i="5"/>
  <c r="B333" i="5"/>
  <c r="B334" i="5"/>
  <c r="D334" i="5" s="1"/>
  <c r="B335" i="5"/>
  <c r="B336" i="5"/>
  <c r="E336" i="5" s="1"/>
  <c r="B337" i="5"/>
  <c r="B338" i="5"/>
  <c r="B339" i="5"/>
  <c r="B340" i="5"/>
  <c r="E340" i="5" s="1"/>
  <c r="B341" i="5"/>
  <c r="E341" i="5" s="1"/>
  <c r="B342" i="5"/>
  <c r="E342" i="5" s="1"/>
  <c r="B343" i="5"/>
  <c r="E343" i="5" s="1"/>
  <c r="B344" i="5"/>
  <c r="E344" i="5" s="1"/>
  <c r="B345" i="5"/>
  <c r="E345" i="5" s="1"/>
  <c r="B346" i="5"/>
  <c r="B347" i="5"/>
  <c r="B348" i="5"/>
  <c r="B349" i="5"/>
  <c r="B350" i="5"/>
  <c r="B351" i="5"/>
  <c r="B352" i="5"/>
  <c r="E352" i="5" s="1"/>
  <c r="B353" i="5"/>
  <c r="B354" i="5"/>
  <c r="D354" i="5" s="1"/>
  <c r="B355" i="5"/>
  <c r="B356" i="5"/>
  <c r="B357" i="5"/>
  <c r="B358" i="5"/>
  <c r="E358" i="5" s="1"/>
  <c r="B359" i="5"/>
  <c r="E359" i="5" s="1"/>
  <c r="B360" i="5"/>
  <c r="E360" i="5" s="1"/>
  <c r="B361" i="5"/>
  <c r="E361" i="5" s="1"/>
  <c r="B362" i="5"/>
  <c r="B363" i="5"/>
  <c r="B364" i="5"/>
  <c r="B365" i="5"/>
  <c r="B366" i="5"/>
  <c r="B367" i="5"/>
  <c r="B368" i="5"/>
  <c r="E368" i="5" s="1"/>
  <c r="B369" i="5"/>
  <c r="B370" i="5"/>
  <c r="D370" i="5" s="1"/>
  <c r="B371" i="5"/>
  <c r="B372" i="5"/>
  <c r="B373" i="5"/>
  <c r="B374" i="5"/>
  <c r="E374" i="5" s="1"/>
  <c r="B375" i="5"/>
  <c r="E375" i="5" s="1"/>
  <c r="B376" i="5"/>
  <c r="B377" i="5"/>
  <c r="B378" i="5"/>
  <c r="B379" i="5"/>
  <c r="B380" i="5"/>
  <c r="B381" i="5"/>
  <c r="B382" i="5"/>
  <c r="B383" i="5"/>
  <c r="B384" i="5"/>
  <c r="B385" i="5"/>
  <c r="B386" i="5"/>
  <c r="D386" i="5" s="1"/>
  <c r="B387" i="5"/>
  <c r="B388" i="5"/>
  <c r="B389" i="5"/>
  <c r="B390" i="5"/>
  <c r="E390" i="5" s="1"/>
  <c r="B391" i="5"/>
  <c r="E391" i="5" s="1"/>
  <c r="B392" i="5"/>
  <c r="E392" i="5" s="1"/>
  <c r="B393" i="5"/>
  <c r="B394" i="5"/>
  <c r="B395" i="5"/>
  <c r="B396" i="5"/>
  <c r="B397" i="5"/>
  <c r="B398" i="5"/>
  <c r="B399" i="5"/>
  <c r="B400" i="5"/>
  <c r="B401" i="5"/>
  <c r="B402" i="5"/>
  <c r="D402" i="5" s="1"/>
  <c r="B403" i="5"/>
  <c r="B404" i="5"/>
  <c r="B405" i="5"/>
  <c r="E405" i="5" s="1"/>
  <c r="B406" i="5"/>
  <c r="E406" i="5" s="1"/>
  <c r="B407" i="5"/>
  <c r="E407" i="5" s="1"/>
  <c r="B408" i="5"/>
  <c r="E408" i="5" s="1"/>
  <c r="B409" i="5"/>
  <c r="B410" i="5"/>
  <c r="B411" i="5"/>
  <c r="B412" i="5"/>
  <c r="B413" i="5"/>
  <c r="B414" i="5"/>
  <c r="B415" i="5"/>
  <c r="B416" i="5"/>
  <c r="E416" i="5" s="1"/>
  <c r="B417" i="5"/>
  <c r="B418" i="5"/>
  <c r="B419" i="5"/>
  <c r="B420" i="5"/>
  <c r="B421" i="5"/>
  <c r="B422" i="5"/>
  <c r="E422" i="5" s="1"/>
  <c r="B423" i="5"/>
  <c r="E423" i="5" s="1"/>
  <c r="B424" i="5"/>
  <c r="E424" i="5" s="1"/>
  <c r="B425" i="5"/>
  <c r="B426" i="5"/>
  <c r="B427" i="5"/>
  <c r="B428" i="5"/>
  <c r="B429" i="5"/>
  <c r="B430" i="5"/>
  <c r="B431" i="5"/>
  <c r="B432" i="5"/>
  <c r="E432" i="5" s="1"/>
  <c r="B433" i="5"/>
  <c r="D433" i="5" s="1"/>
  <c r="B434" i="5"/>
  <c r="D434" i="5" s="1"/>
  <c r="B435" i="5"/>
  <c r="B436" i="5"/>
  <c r="B437" i="5"/>
  <c r="B438" i="5"/>
  <c r="E438" i="5" s="1"/>
  <c r="B439" i="5"/>
  <c r="E439" i="5" s="1"/>
  <c r="B440" i="5"/>
  <c r="E440" i="5" s="1"/>
  <c r="B441" i="5"/>
  <c r="E441" i="5" s="1"/>
  <c r="B442" i="5"/>
  <c r="E442" i="5" s="1"/>
  <c r="B443" i="5"/>
  <c r="B444" i="5"/>
  <c r="B445" i="5"/>
  <c r="B446" i="5"/>
  <c r="B447" i="5"/>
  <c r="B448" i="5"/>
  <c r="E448" i="5" s="1"/>
  <c r="B449" i="5"/>
  <c r="B450" i="5"/>
  <c r="D450" i="5" s="1"/>
  <c r="B451" i="5"/>
  <c r="B452" i="5"/>
  <c r="B453" i="5"/>
  <c r="B454" i="5"/>
  <c r="E454" i="5" s="1"/>
  <c r="B455" i="5"/>
  <c r="E455" i="5" s="1"/>
  <c r="B456" i="5"/>
  <c r="B457" i="5"/>
  <c r="E457" i="5" s="1"/>
  <c r="B458" i="5"/>
  <c r="B459" i="5"/>
  <c r="B460" i="5"/>
  <c r="B461" i="5"/>
  <c r="B462" i="5"/>
  <c r="B463" i="5"/>
  <c r="B464" i="5"/>
  <c r="E464" i="5" s="1"/>
  <c r="B465" i="5"/>
  <c r="B466" i="5"/>
  <c r="B467" i="5"/>
  <c r="B468" i="5"/>
  <c r="B469" i="5"/>
  <c r="B470" i="5"/>
  <c r="E470" i="5" s="1"/>
  <c r="B471" i="5"/>
  <c r="E471" i="5" s="1"/>
  <c r="B472" i="5"/>
  <c r="E472" i="5" s="1"/>
  <c r="B473" i="5"/>
  <c r="B474" i="5"/>
  <c r="B475" i="5"/>
  <c r="B476" i="5"/>
  <c r="B477" i="5"/>
  <c r="B478" i="5"/>
  <c r="B479" i="5"/>
  <c r="B480" i="5"/>
  <c r="E480" i="5" s="1"/>
  <c r="B481" i="5"/>
  <c r="B482" i="5"/>
  <c r="D482" i="5" s="1"/>
  <c r="B483" i="5"/>
  <c r="B484" i="5"/>
  <c r="B485" i="5"/>
  <c r="E485" i="5" s="1"/>
  <c r="B486" i="5"/>
  <c r="E486" i="5" s="1"/>
  <c r="B487" i="5"/>
  <c r="E487" i="5" s="1"/>
  <c r="B488" i="5"/>
  <c r="E488" i="5" s="1"/>
  <c r="B489" i="5"/>
  <c r="E489" i="5" s="1"/>
  <c r="B490" i="5"/>
  <c r="B491" i="5"/>
  <c r="E491" i="5" s="1"/>
  <c r="B492" i="5"/>
  <c r="B493" i="5"/>
  <c r="B494" i="5"/>
  <c r="B495" i="5"/>
  <c r="B496" i="5"/>
  <c r="B497" i="5"/>
  <c r="B498" i="5"/>
  <c r="D498" i="5" s="1"/>
  <c r="B499" i="5"/>
  <c r="B500" i="5"/>
  <c r="B501" i="5"/>
  <c r="B502" i="5"/>
  <c r="E502" i="5" s="1"/>
  <c r="B503" i="5"/>
  <c r="E503" i="5" s="1"/>
  <c r="B504" i="5"/>
  <c r="E504" i="5" s="1"/>
  <c r="B505" i="5"/>
  <c r="B506" i="5"/>
  <c r="B507" i="5"/>
  <c r="B508" i="5"/>
  <c r="B509" i="5"/>
  <c r="B510" i="5"/>
  <c r="B511" i="5"/>
  <c r="B512" i="5"/>
  <c r="E512" i="5" s="1"/>
  <c r="B513" i="5"/>
  <c r="B514" i="5"/>
  <c r="D514" i="5" s="1"/>
  <c r="B515" i="5"/>
  <c r="B516" i="5"/>
  <c r="B517" i="5"/>
  <c r="B518" i="5"/>
  <c r="E518" i="5" s="1"/>
  <c r="B519" i="5"/>
  <c r="E519" i="5" s="1"/>
  <c r="B520" i="5"/>
  <c r="B521" i="5"/>
  <c r="B522" i="5"/>
  <c r="B523" i="5"/>
  <c r="B524" i="5"/>
  <c r="B525" i="5"/>
  <c r="B526" i="5"/>
  <c r="D526" i="5" s="1"/>
  <c r="B527" i="5"/>
  <c r="B528" i="5"/>
  <c r="B529" i="5"/>
  <c r="D529" i="5" s="1"/>
  <c r="B530" i="5"/>
  <c r="D530" i="5" s="1"/>
  <c r="B531" i="5"/>
  <c r="B532" i="5"/>
  <c r="B533" i="5"/>
  <c r="B534" i="5"/>
  <c r="E534" i="5" s="1"/>
  <c r="B535" i="5"/>
  <c r="E535" i="5" s="1"/>
  <c r="B536" i="5"/>
  <c r="E536" i="5" s="1"/>
  <c r="B537" i="5"/>
  <c r="B538" i="5"/>
  <c r="B539" i="5"/>
  <c r="B540" i="5"/>
  <c r="B541" i="5"/>
  <c r="B542" i="5"/>
  <c r="B543" i="5"/>
  <c r="B544" i="5"/>
  <c r="E544" i="5" s="1"/>
  <c r="B545" i="5"/>
  <c r="B546" i="5"/>
  <c r="B547" i="5"/>
  <c r="B548" i="5"/>
  <c r="B549" i="5"/>
  <c r="B550" i="5"/>
  <c r="E550" i="5" s="1"/>
  <c r="B551" i="5"/>
  <c r="E551" i="5" s="1"/>
  <c r="B552" i="5"/>
  <c r="E552" i="5" s="1"/>
  <c r="B553" i="5"/>
  <c r="B554" i="5"/>
  <c r="B555" i="5"/>
  <c r="B556" i="5"/>
  <c r="B557" i="5"/>
  <c r="B558" i="5"/>
  <c r="B559" i="5"/>
  <c r="B560" i="5"/>
  <c r="E560" i="5" s="1"/>
  <c r="B561" i="5"/>
  <c r="B562" i="5"/>
  <c r="D562" i="5" s="1"/>
  <c r="B563" i="5"/>
  <c r="B564" i="5"/>
  <c r="B565" i="5"/>
  <c r="B566" i="5"/>
  <c r="E566" i="5" s="1"/>
  <c r="B567" i="5"/>
  <c r="E567" i="5" s="1"/>
  <c r="B568" i="5"/>
  <c r="E568" i="5" s="1"/>
  <c r="B569" i="5"/>
  <c r="B570" i="5"/>
  <c r="E570" i="5" s="1"/>
  <c r="B571" i="5"/>
  <c r="B572" i="5"/>
  <c r="B573" i="5"/>
  <c r="B574" i="5"/>
  <c r="B575" i="5"/>
  <c r="B576" i="5"/>
  <c r="E576" i="5" s="1"/>
  <c r="B577" i="5"/>
  <c r="B578" i="5"/>
  <c r="D578" i="5" s="1"/>
  <c r="B579" i="5"/>
  <c r="B580" i="5"/>
  <c r="B581" i="5"/>
  <c r="B582" i="5"/>
  <c r="E582" i="5" s="1"/>
  <c r="B583" i="5"/>
  <c r="E583" i="5" s="1"/>
  <c r="B584" i="5"/>
  <c r="E584" i="5" s="1"/>
  <c r="B585" i="5"/>
  <c r="B586" i="5"/>
  <c r="B587" i="5"/>
  <c r="E587" i="5" s="1"/>
  <c r="B588" i="5"/>
  <c r="B589" i="5"/>
  <c r="B590" i="5"/>
  <c r="D590" i="5" s="1"/>
  <c r="B591" i="5"/>
  <c r="B592" i="5"/>
  <c r="E592" i="5" s="1"/>
  <c r="B593" i="5"/>
  <c r="B594" i="5"/>
  <c r="B595" i="5"/>
  <c r="B596" i="5"/>
  <c r="B597" i="5"/>
  <c r="E597" i="5" s="1"/>
  <c r="B598" i="5"/>
  <c r="E598" i="5" s="1"/>
  <c r="B599" i="5"/>
  <c r="E599" i="5" s="1"/>
  <c r="B600" i="5"/>
  <c r="E600" i="5" s="1"/>
  <c r="B601" i="5"/>
  <c r="B602" i="5"/>
  <c r="B603" i="5"/>
  <c r="B604" i="5"/>
  <c r="B605" i="5"/>
  <c r="B606" i="5"/>
  <c r="B607" i="5"/>
  <c r="B608" i="5"/>
  <c r="E608" i="5" s="1"/>
  <c r="B609" i="5"/>
  <c r="B610" i="5"/>
  <c r="D610" i="5" s="1"/>
  <c r="B611" i="5"/>
  <c r="B612" i="5"/>
  <c r="B613" i="5"/>
  <c r="B614" i="5"/>
  <c r="E614" i="5" s="1"/>
  <c r="B615" i="5"/>
  <c r="E615" i="5" s="1"/>
  <c r="B616" i="5"/>
  <c r="E616" i="5" s="1"/>
  <c r="B617" i="5"/>
  <c r="B618" i="5"/>
  <c r="B619" i="5"/>
  <c r="B620" i="5"/>
  <c r="B621" i="5"/>
  <c r="B622" i="5"/>
  <c r="B623" i="5"/>
  <c r="B624" i="5"/>
  <c r="B625" i="5"/>
  <c r="B626" i="5"/>
  <c r="D626" i="5" s="1"/>
  <c r="B627" i="5"/>
  <c r="B628" i="5"/>
  <c r="B629" i="5"/>
  <c r="B630" i="5"/>
  <c r="E630" i="5" s="1"/>
  <c r="B631" i="5"/>
  <c r="E631" i="5" s="1"/>
  <c r="B632" i="5"/>
  <c r="E632" i="5" s="1"/>
  <c r="B633" i="5"/>
  <c r="B634" i="5"/>
  <c r="B635" i="5"/>
  <c r="E635" i="5" s="1"/>
  <c r="B636" i="5"/>
  <c r="E636" i="5" s="1"/>
  <c r="B637" i="5"/>
  <c r="E637" i="5" s="1"/>
  <c r="B638" i="5"/>
  <c r="D638" i="5" s="1"/>
  <c r="B639" i="5"/>
  <c r="B640" i="5"/>
  <c r="E640" i="5" s="1"/>
  <c r="B641" i="5"/>
  <c r="D641" i="5" s="1"/>
  <c r="B642" i="5"/>
  <c r="D642" i="5" s="1"/>
  <c r="B643" i="5"/>
  <c r="B644" i="5"/>
  <c r="B645" i="5"/>
  <c r="B646" i="5"/>
  <c r="E646" i="5" s="1"/>
  <c r="B647" i="5"/>
  <c r="E647" i="5" s="1"/>
  <c r="B648" i="5"/>
  <c r="E648" i="5" s="1"/>
  <c r="B649" i="5"/>
  <c r="B650" i="5"/>
  <c r="B651" i="5"/>
  <c r="B652" i="5"/>
  <c r="B653" i="5"/>
  <c r="B654" i="5"/>
  <c r="B655" i="5"/>
  <c r="B656" i="5"/>
  <c r="B657" i="5"/>
  <c r="B658" i="5"/>
  <c r="D658" i="5" s="1"/>
  <c r="B659" i="5"/>
  <c r="B660" i="5"/>
  <c r="B661" i="5"/>
  <c r="B662" i="5"/>
  <c r="E662" i="5" s="1"/>
  <c r="B663" i="5"/>
  <c r="E663" i="5" s="1"/>
  <c r="B664" i="5"/>
  <c r="E664" i="5" s="1"/>
  <c r="B665" i="5"/>
  <c r="B666" i="5"/>
  <c r="B667" i="5"/>
  <c r="B668" i="5"/>
  <c r="B669" i="5"/>
  <c r="B670" i="5"/>
  <c r="B671" i="5"/>
  <c r="B672" i="5"/>
  <c r="E672" i="5" s="1"/>
  <c r="B673" i="5"/>
  <c r="B674" i="5"/>
  <c r="B675" i="5"/>
  <c r="B676" i="5"/>
  <c r="B677" i="5"/>
  <c r="B678" i="5"/>
  <c r="E678" i="5" s="1"/>
  <c r="B679" i="5"/>
  <c r="E679" i="5" s="1"/>
  <c r="B680" i="5"/>
  <c r="B681" i="5"/>
  <c r="B682" i="5"/>
  <c r="B683" i="5"/>
  <c r="B684" i="5"/>
  <c r="B685" i="5"/>
  <c r="B686" i="5"/>
  <c r="B687" i="5"/>
  <c r="B688" i="5"/>
  <c r="E688" i="5" s="1"/>
  <c r="B689" i="5"/>
  <c r="B690" i="5"/>
  <c r="D690" i="5" s="1"/>
  <c r="B691" i="5"/>
  <c r="B692" i="5"/>
  <c r="B693" i="5"/>
  <c r="B694" i="5"/>
  <c r="E694" i="5" s="1"/>
  <c r="B695" i="5"/>
  <c r="E695" i="5" s="1"/>
  <c r="B696" i="5"/>
  <c r="B697" i="5"/>
  <c r="B698" i="5"/>
  <c r="E698" i="5" s="1"/>
  <c r="B699" i="5"/>
  <c r="B700" i="5"/>
  <c r="B701" i="5"/>
  <c r="B702" i="5"/>
  <c r="B703" i="5"/>
  <c r="B704" i="5"/>
  <c r="E704" i="5" s="1"/>
  <c r="B705" i="5"/>
  <c r="B706" i="5"/>
  <c r="D706" i="5" s="1"/>
  <c r="B707" i="5"/>
  <c r="B708" i="5"/>
  <c r="B709" i="5"/>
  <c r="B710" i="5"/>
  <c r="E710" i="5" s="1"/>
  <c r="B711" i="5"/>
  <c r="E711" i="5" s="1"/>
  <c r="B712" i="5"/>
  <c r="B713" i="5"/>
  <c r="B714" i="5"/>
  <c r="B715" i="5"/>
  <c r="B716" i="5"/>
  <c r="B717" i="5"/>
  <c r="E717" i="5" s="1"/>
  <c r="B718" i="5"/>
  <c r="D718" i="5" s="1"/>
  <c r="B719" i="5"/>
  <c r="B720" i="5"/>
  <c r="E720" i="5" s="1"/>
  <c r="B721" i="5"/>
  <c r="B722" i="5"/>
  <c r="B723" i="5"/>
  <c r="B724" i="5"/>
  <c r="B725" i="5"/>
  <c r="B726" i="5"/>
  <c r="E726" i="5" s="1"/>
  <c r="B727" i="5"/>
  <c r="E727" i="5" s="1"/>
  <c r="B728" i="5"/>
  <c r="B729" i="5"/>
  <c r="B730" i="5"/>
  <c r="B731" i="5"/>
  <c r="B732" i="5"/>
  <c r="B733" i="5"/>
  <c r="E733" i="5" s="1"/>
  <c r="B734" i="5"/>
  <c r="B735" i="5"/>
  <c r="B736" i="5"/>
  <c r="E736" i="5" s="1"/>
  <c r="B737" i="5"/>
  <c r="B738" i="5"/>
  <c r="D738" i="5" s="1"/>
  <c r="B739" i="5"/>
  <c r="B740" i="5"/>
  <c r="B741" i="5"/>
  <c r="B742" i="5"/>
  <c r="E742" i="5" s="1"/>
  <c r="B743" i="5"/>
  <c r="E743" i="5" s="1"/>
  <c r="B744" i="5"/>
  <c r="B745" i="5"/>
  <c r="B746" i="5"/>
  <c r="E746" i="5" s="1"/>
  <c r="B747" i="5"/>
  <c r="E747" i="5" s="1"/>
  <c r="B748" i="5"/>
  <c r="B749" i="5"/>
  <c r="B750" i="5"/>
  <c r="B751" i="5"/>
  <c r="B752" i="5"/>
  <c r="E752" i="5" s="1"/>
  <c r="B753" i="5"/>
  <c r="B754" i="5"/>
  <c r="D754" i="5" s="1"/>
  <c r="B755" i="5"/>
  <c r="B756" i="5"/>
  <c r="B757" i="5"/>
  <c r="B758" i="5"/>
  <c r="E758" i="5" s="1"/>
  <c r="B759" i="5"/>
  <c r="E759" i="5" s="1"/>
  <c r="B760" i="5"/>
  <c r="B761" i="5"/>
  <c r="B762" i="5"/>
  <c r="B763" i="5"/>
  <c r="B764" i="5"/>
  <c r="B765" i="5"/>
  <c r="B766" i="5"/>
  <c r="D766" i="5" s="1"/>
  <c r="B767" i="5"/>
  <c r="B768" i="5"/>
  <c r="E768" i="5" s="1"/>
  <c r="B769" i="5"/>
  <c r="B770" i="5"/>
  <c r="B771" i="5"/>
  <c r="B772" i="5"/>
  <c r="B773" i="5"/>
  <c r="E773" i="5" s="1"/>
  <c r="B774" i="5"/>
  <c r="E774" i="5" s="1"/>
  <c r="B775" i="5"/>
  <c r="E775" i="5" s="1"/>
  <c r="B776" i="5"/>
  <c r="B777" i="5"/>
  <c r="B778" i="5"/>
  <c r="B779" i="5"/>
  <c r="E779" i="5" s="1"/>
  <c r="B780" i="5"/>
  <c r="B781" i="5"/>
  <c r="B782" i="5"/>
  <c r="D782" i="5" s="1"/>
  <c r="B783" i="5"/>
  <c r="B784" i="5"/>
  <c r="E784" i="5" s="1"/>
  <c r="B785" i="5"/>
  <c r="B786" i="5"/>
  <c r="D786" i="5" s="1"/>
  <c r="B787" i="5"/>
  <c r="B788" i="5"/>
  <c r="B789" i="5"/>
  <c r="E789" i="5" s="1"/>
  <c r="B790" i="5"/>
  <c r="E790" i="5" s="1"/>
  <c r="B791" i="5"/>
  <c r="E791" i="5" s="1"/>
  <c r="B792" i="5"/>
  <c r="E792" i="5" s="1"/>
  <c r="B793" i="5"/>
  <c r="B794" i="5"/>
  <c r="B795" i="5"/>
  <c r="B796" i="5"/>
  <c r="B797" i="5"/>
  <c r="B798" i="5"/>
  <c r="B799" i="5"/>
  <c r="B800" i="5"/>
  <c r="E800" i="5" s="1"/>
  <c r="B801" i="5"/>
  <c r="B802" i="5"/>
  <c r="D802" i="5" s="1"/>
  <c r="B803" i="5"/>
  <c r="B804" i="5"/>
  <c r="B805" i="5"/>
  <c r="B806" i="5"/>
  <c r="E806" i="5" s="1"/>
  <c r="B807" i="5"/>
  <c r="E807" i="5" s="1"/>
  <c r="B808" i="5"/>
  <c r="B809" i="5"/>
  <c r="B810" i="5"/>
  <c r="B811" i="5"/>
  <c r="B812" i="5"/>
  <c r="E812" i="5" s="1"/>
  <c r="B813" i="5"/>
  <c r="E813" i="5" s="1"/>
  <c r="B814" i="5"/>
  <c r="D814" i="5" s="1"/>
  <c r="B815" i="5"/>
  <c r="E815" i="5" s="1"/>
  <c r="B816" i="5"/>
  <c r="E816" i="5" s="1"/>
  <c r="B817" i="5"/>
  <c r="B818" i="5"/>
  <c r="B819" i="5"/>
  <c r="B820" i="5"/>
  <c r="B821" i="5"/>
  <c r="B822" i="5"/>
  <c r="E822" i="5" s="1"/>
  <c r="B823" i="5"/>
  <c r="E823" i="5" s="1"/>
  <c r="B824" i="5"/>
  <c r="B825" i="5"/>
  <c r="B826" i="5"/>
  <c r="B827" i="5"/>
  <c r="B828" i="5"/>
  <c r="B829" i="5"/>
  <c r="B830" i="5"/>
  <c r="B831" i="5"/>
  <c r="B832" i="5"/>
  <c r="B833" i="5"/>
  <c r="B834" i="5"/>
  <c r="D834" i="5" s="1"/>
  <c r="B835" i="5"/>
  <c r="B836" i="5"/>
  <c r="B837" i="5"/>
  <c r="B838" i="5"/>
  <c r="E838" i="5" s="1"/>
  <c r="B839" i="5"/>
  <c r="E839" i="5" s="1"/>
  <c r="B840" i="5"/>
  <c r="B841" i="5"/>
  <c r="B842" i="5"/>
  <c r="B843" i="5"/>
  <c r="B844" i="5"/>
  <c r="B845" i="5"/>
  <c r="B846" i="5"/>
  <c r="B847" i="5"/>
  <c r="B848" i="5"/>
  <c r="E848" i="5" s="1"/>
  <c r="B849" i="5"/>
  <c r="B850" i="5"/>
  <c r="D850" i="5" s="1"/>
  <c r="B851" i="5"/>
  <c r="B852" i="5"/>
  <c r="B853" i="5"/>
  <c r="B854" i="5"/>
  <c r="E854" i="5" s="1"/>
  <c r="B855" i="5"/>
  <c r="E855" i="5" s="1"/>
  <c r="B856" i="5"/>
  <c r="B857" i="5"/>
  <c r="B858" i="5"/>
  <c r="B859" i="5"/>
  <c r="B860" i="5"/>
  <c r="B861" i="5"/>
  <c r="B862" i="5"/>
  <c r="B863" i="5"/>
  <c r="B864" i="5"/>
  <c r="E864" i="5" s="1"/>
  <c r="B865" i="5"/>
  <c r="B866" i="5"/>
  <c r="B867" i="5"/>
  <c r="B868" i="5"/>
  <c r="B869" i="5"/>
  <c r="B870" i="5"/>
  <c r="E870" i="5" s="1"/>
  <c r="B871" i="5"/>
  <c r="E871" i="5" s="1"/>
  <c r="B872" i="5"/>
  <c r="B873" i="5"/>
  <c r="B874" i="5"/>
  <c r="E874" i="5" s="1"/>
  <c r="B875" i="5"/>
  <c r="B876" i="5"/>
  <c r="E876" i="5" s="1"/>
  <c r="B877" i="5"/>
  <c r="B878" i="5"/>
  <c r="D878" i="5" s="1"/>
  <c r="B879" i="5"/>
  <c r="B880" i="5"/>
  <c r="B881" i="5"/>
  <c r="D881" i="5" s="1"/>
  <c r="B882" i="5"/>
  <c r="D882" i="5" s="1"/>
  <c r="B883" i="5"/>
  <c r="B884" i="5"/>
  <c r="B885" i="5"/>
  <c r="B886" i="5"/>
  <c r="E886" i="5" s="1"/>
  <c r="B887" i="5"/>
  <c r="E887" i="5" s="1"/>
  <c r="B888" i="5"/>
  <c r="B889" i="5"/>
  <c r="B890" i="5"/>
  <c r="B891" i="5"/>
  <c r="B892" i="5"/>
  <c r="B893" i="5"/>
  <c r="B894" i="5"/>
  <c r="B895" i="5"/>
  <c r="B896" i="5"/>
  <c r="E896" i="5" s="1"/>
  <c r="B897" i="5"/>
  <c r="B898" i="5"/>
  <c r="D898" i="5" s="1"/>
  <c r="B899" i="5"/>
  <c r="B900" i="5"/>
  <c r="B901" i="5"/>
  <c r="B902" i="5"/>
  <c r="E902" i="5" s="1"/>
  <c r="B903" i="5"/>
  <c r="E903" i="5" s="1"/>
  <c r="B904" i="5"/>
  <c r="B905" i="5"/>
  <c r="B906" i="5"/>
  <c r="B907" i="5"/>
  <c r="B908" i="5"/>
  <c r="B909" i="5"/>
  <c r="B910" i="5"/>
  <c r="B911" i="5"/>
  <c r="B912" i="5"/>
  <c r="E912" i="5" s="1"/>
  <c r="B913" i="5"/>
  <c r="B914" i="5"/>
  <c r="B915" i="5"/>
  <c r="B916" i="5"/>
  <c r="B917" i="5"/>
  <c r="B918" i="5"/>
  <c r="E918" i="5" s="1"/>
  <c r="B919" i="5"/>
  <c r="E919" i="5" s="1"/>
  <c r="B920" i="5"/>
  <c r="B921" i="5"/>
  <c r="E921" i="5" s="1"/>
  <c r="B922" i="5"/>
  <c r="E922" i="5" s="1"/>
  <c r="B923" i="5"/>
  <c r="E923" i="5" s="1"/>
  <c r="B924" i="5"/>
  <c r="B925" i="5"/>
  <c r="E925" i="5" s="1"/>
  <c r="B926" i="5"/>
  <c r="D926" i="5" s="1"/>
  <c r="B927" i="5"/>
  <c r="B928" i="5"/>
  <c r="E928" i="5" s="1"/>
  <c r="B929" i="5"/>
  <c r="B930" i="5"/>
  <c r="D930" i="5" s="1"/>
  <c r="B931" i="5"/>
  <c r="B932" i="5"/>
  <c r="B933" i="5"/>
  <c r="B934" i="5"/>
  <c r="E934" i="5" s="1"/>
  <c r="B935" i="5"/>
  <c r="E935" i="5" s="1"/>
  <c r="B936" i="5"/>
  <c r="B937" i="5"/>
  <c r="B938" i="5"/>
  <c r="B939" i="5"/>
  <c r="B940" i="5"/>
  <c r="B941" i="5"/>
  <c r="B942" i="5"/>
  <c r="B943" i="5"/>
  <c r="B944" i="5"/>
  <c r="B945" i="5"/>
  <c r="B946" i="5"/>
  <c r="D946" i="5" s="1"/>
  <c r="B947" i="5"/>
  <c r="B948" i="5"/>
  <c r="B949" i="5"/>
  <c r="B950" i="5"/>
  <c r="E950" i="5" s="1"/>
  <c r="B951" i="5"/>
  <c r="E951" i="5" s="1"/>
  <c r="B952" i="5"/>
  <c r="E952" i="5" s="1"/>
  <c r="B953" i="5"/>
  <c r="B954" i="5"/>
  <c r="B955" i="5"/>
  <c r="B956" i="5"/>
  <c r="B957" i="5"/>
  <c r="B958" i="5"/>
  <c r="B959" i="5"/>
  <c r="B960" i="5"/>
  <c r="E960" i="5" s="1"/>
  <c r="B961" i="5"/>
  <c r="B962" i="5"/>
  <c r="D962" i="5" s="1"/>
  <c r="B963" i="5"/>
  <c r="B964" i="5"/>
  <c r="B965" i="5"/>
  <c r="B966" i="5"/>
  <c r="E966" i="5" s="1"/>
  <c r="B967" i="5"/>
  <c r="E967" i="5" s="1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E982" i="5" s="1"/>
  <c r="B983" i="5"/>
  <c r="E983" i="5" s="1"/>
  <c r="B984" i="5"/>
  <c r="B985" i="5"/>
  <c r="B986" i="5"/>
  <c r="B987" i="5"/>
  <c r="B988" i="5"/>
  <c r="B989" i="5"/>
  <c r="B990" i="5"/>
  <c r="D990" i="5" s="1"/>
  <c r="B991" i="5"/>
  <c r="B992" i="5"/>
  <c r="E992" i="5" s="1"/>
  <c r="B993" i="5"/>
  <c r="D993" i="5" s="1"/>
  <c r="B994" i="5"/>
  <c r="D994" i="5" s="1"/>
  <c r="B995" i="5"/>
  <c r="B996" i="5"/>
  <c r="B997" i="5"/>
  <c r="B998" i="5"/>
  <c r="E998" i="5" s="1"/>
  <c r="B999" i="5"/>
  <c r="E999" i="5" s="1"/>
  <c r="B1000" i="5"/>
  <c r="B1001" i="5"/>
  <c r="B1002" i="5"/>
  <c r="B1003" i="5"/>
  <c r="B1004" i="5"/>
  <c r="B1005" i="5"/>
  <c r="B1006" i="5"/>
  <c r="E1006" i="5" s="1"/>
  <c r="B1007" i="5"/>
  <c r="B1008" i="5"/>
  <c r="E1008" i="5" s="1"/>
  <c r="B1009" i="5"/>
  <c r="B1010" i="5"/>
  <c r="D1010" i="5" s="1"/>
  <c r="B1011" i="5"/>
  <c r="B1012" i="5"/>
  <c r="B1013" i="5"/>
  <c r="B1014" i="5"/>
  <c r="E1014" i="5" s="1"/>
  <c r="B1015" i="5"/>
  <c r="E1015" i="5" s="1"/>
  <c r="B1016" i="5"/>
  <c r="B1017" i="5"/>
  <c r="B1018" i="5"/>
  <c r="B1019" i="5"/>
  <c r="B1020" i="5"/>
  <c r="B1021" i="5"/>
  <c r="E1021" i="5" s="1"/>
  <c r="B1022" i="5"/>
  <c r="E1022" i="5" s="1"/>
  <c r="B1023" i="5"/>
  <c r="E1023" i="5" s="1"/>
  <c r="B1024" i="5"/>
  <c r="B1025" i="5"/>
  <c r="B1026" i="5"/>
  <c r="B1027" i="5"/>
  <c r="B1028" i="5"/>
  <c r="B1029" i="5"/>
  <c r="B1030" i="5"/>
  <c r="E1030" i="5" s="1"/>
  <c r="B1031" i="5"/>
  <c r="E1031" i="5" s="1"/>
  <c r="B1032" i="5"/>
  <c r="B1033" i="5"/>
  <c r="B1034" i="5"/>
  <c r="B1035" i="5"/>
  <c r="B1036" i="5"/>
  <c r="B1037" i="5"/>
  <c r="B1038" i="5"/>
  <c r="B1039" i="5"/>
  <c r="B1040" i="5"/>
  <c r="E1040" i="5" s="1"/>
  <c r="B1041" i="5"/>
  <c r="B1042" i="5"/>
  <c r="D1042" i="5" s="1"/>
  <c r="B1043" i="5"/>
  <c r="B1044" i="5"/>
  <c r="B1045" i="5"/>
  <c r="B1046" i="5"/>
  <c r="E1046" i="5" s="1"/>
  <c r="B1047" i="5"/>
  <c r="E1047" i="5" s="1"/>
  <c r="B1048" i="5"/>
  <c r="E1048" i="5" s="1"/>
  <c r="B1049" i="5"/>
  <c r="E1049" i="5" s="1"/>
  <c r="B1050" i="5"/>
  <c r="B1051" i="5"/>
  <c r="B1052" i="5"/>
  <c r="B1053" i="5"/>
  <c r="B1054" i="5"/>
  <c r="B1055" i="5"/>
  <c r="B1056" i="5"/>
  <c r="E1056" i="5" s="1"/>
  <c r="B1057" i="5"/>
  <c r="B1058" i="5"/>
  <c r="E1058" i="5" s="1"/>
  <c r="B1059" i="5"/>
  <c r="B1060" i="5"/>
  <c r="B1061" i="5"/>
  <c r="B1062" i="5"/>
  <c r="E1062" i="5" s="1"/>
  <c r="B1063" i="5"/>
  <c r="E1063" i="5" s="1"/>
  <c r="B1064" i="5"/>
  <c r="E1064" i="5" s="1"/>
  <c r="B1065" i="5"/>
  <c r="E1065" i="5" s="1"/>
  <c r="B1066" i="5"/>
  <c r="B1067" i="5"/>
  <c r="B1068" i="5"/>
  <c r="B1069" i="5"/>
  <c r="E1069" i="5" s="1"/>
  <c r="B1070" i="5"/>
  <c r="B1071" i="5"/>
  <c r="B1072" i="5"/>
  <c r="E1072" i="5" s="1"/>
  <c r="B1073" i="5"/>
  <c r="B1074" i="5"/>
  <c r="B1075" i="5"/>
  <c r="B1076" i="5"/>
  <c r="B1077" i="5"/>
  <c r="B1078" i="5"/>
  <c r="E1078" i="5" s="1"/>
  <c r="B1079" i="5"/>
  <c r="E1079" i="5" s="1"/>
  <c r="B1080" i="5"/>
  <c r="B1081" i="5"/>
  <c r="B1082" i="5"/>
  <c r="B1083" i="5"/>
  <c r="B1084" i="5"/>
  <c r="B1085" i="5"/>
  <c r="B1086" i="5"/>
  <c r="B1087" i="5"/>
  <c r="B1088" i="5"/>
  <c r="E1088" i="5" s="1"/>
  <c r="B1089" i="5"/>
  <c r="B1090" i="5"/>
  <c r="D1090" i="5" s="1"/>
  <c r="B1091" i="5"/>
  <c r="B1092" i="5"/>
  <c r="B1093" i="5"/>
  <c r="B1094" i="5"/>
  <c r="E1094" i="5" s="1"/>
  <c r="B1095" i="5"/>
  <c r="E1095" i="5" s="1"/>
  <c r="B1096" i="5"/>
  <c r="E1096" i="5" s="1"/>
  <c r="B1097" i="5"/>
  <c r="B1098" i="5"/>
  <c r="B1099" i="5"/>
  <c r="B1100" i="5"/>
  <c r="B1101" i="5"/>
  <c r="B1102" i="5"/>
  <c r="B1103" i="5"/>
  <c r="B1104" i="5"/>
  <c r="E1104" i="5" s="1"/>
  <c r="B1105" i="5"/>
  <c r="D1105" i="5" s="1"/>
  <c r="B1106" i="5"/>
  <c r="D1106" i="5" s="1"/>
  <c r="B1107" i="5"/>
  <c r="B1108" i="5"/>
  <c r="B1109" i="5"/>
  <c r="B1110" i="5"/>
  <c r="E1110" i="5" s="1"/>
  <c r="B1111" i="5"/>
  <c r="E1111" i="5" s="1"/>
  <c r="B1112" i="5"/>
  <c r="B1113" i="5"/>
  <c r="B1114" i="5"/>
  <c r="B1115" i="5"/>
  <c r="B1116" i="5"/>
  <c r="B1117" i="5"/>
  <c r="B1118" i="5"/>
  <c r="B1119" i="5"/>
  <c r="B1120" i="5"/>
  <c r="E1120" i="5" s="1"/>
  <c r="B1121" i="5"/>
  <c r="B1122" i="5"/>
  <c r="B1123" i="5"/>
  <c r="B1124" i="5"/>
  <c r="B1125" i="5"/>
  <c r="B1126" i="5"/>
  <c r="E1126" i="5" s="1"/>
  <c r="B1127" i="5"/>
  <c r="E1127" i="5" s="1"/>
  <c r="B1128" i="5"/>
  <c r="B1129" i="5"/>
  <c r="B1130" i="5"/>
  <c r="B1131" i="5"/>
  <c r="E1131" i="5" s="1"/>
  <c r="B1132" i="5"/>
  <c r="B1133" i="5"/>
  <c r="B1134" i="5"/>
  <c r="B1135" i="5"/>
  <c r="B1136" i="5"/>
  <c r="B1137" i="5"/>
  <c r="B1138" i="5"/>
  <c r="D1138" i="5" s="1"/>
  <c r="B1139" i="5"/>
  <c r="B1140" i="5"/>
  <c r="B1141" i="5"/>
  <c r="B1142" i="5"/>
  <c r="E1142" i="5" s="1"/>
  <c r="B1143" i="5"/>
  <c r="E1143" i="5" s="1"/>
  <c r="B1144" i="5"/>
  <c r="B1145" i="5"/>
  <c r="B1146" i="5"/>
  <c r="B1147" i="5"/>
  <c r="B1148" i="5"/>
  <c r="B1149" i="5"/>
  <c r="B1150" i="5"/>
  <c r="B1151" i="5"/>
  <c r="B1152" i="5"/>
  <c r="E1152" i="5" s="1"/>
  <c r="B1153" i="5"/>
  <c r="B1154" i="5"/>
  <c r="D1154" i="5" s="1"/>
  <c r="B1155" i="5"/>
  <c r="B1156" i="5"/>
  <c r="B1157" i="5"/>
  <c r="B1158" i="5"/>
  <c r="E1158" i="5" s="1"/>
  <c r="B1159" i="5"/>
  <c r="E1159" i="5" s="1"/>
  <c r="B1160" i="5"/>
  <c r="B1161" i="5"/>
  <c r="B1162" i="5"/>
  <c r="B1163" i="5"/>
  <c r="B1164" i="5"/>
  <c r="B1165" i="5"/>
  <c r="B1166" i="5"/>
  <c r="B1167" i="5"/>
  <c r="B1168" i="5"/>
  <c r="E1168" i="5" s="1"/>
  <c r="B1169" i="5"/>
  <c r="B1170" i="5"/>
  <c r="B1171" i="5"/>
  <c r="B1172" i="5"/>
  <c r="B1173" i="5"/>
  <c r="E1173" i="5" s="1"/>
  <c r="B1174" i="5"/>
  <c r="E1174" i="5" s="1"/>
  <c r="B1175" i="5"/>
  <c r="E1175" i="5" s="1"/>
  <c r="B1176" i="5"/>
  <c r="B1177" i="5"/>
  <c r="B1178" i="5"/>
  <c r="B1179" i="5"/>
  <c r="E1179" i="5" s="1"/>
  <c r="B1180" i="5"/>
  <c r="E1180" i="5" s="1"/>
  <c r="B1181" i="5"/>
  <c r="E1181" i="5" s="1"/>
  <c r="B1182" i="5"/>
  <c r="D1182" i="5" s="1"/>
  <c r="B1183" i="5"/>
  <c r="B1184" i="5"/>
  <c r="E1184" i="5" s="1"/>
  <c r="B1185" i="5"/>
  <c r="B1186" i="5"/>
  <c r="D1186" i="5" s="1"/>
  <c r="B1187" i="5"/>
  <c r="B1188" i="5"/>
  <c r="B1189" i="5"/>
  <c r="B1190" i="5"/>
  <c r="E1190" i="5" s="1"/>
  <c r="B1191" i="5"/>
  <c r="E1191" i="5" s="1"/>
  <c r="B1192" i="5"/>
  <c r="B1193" i="5"/>
  <c r="B1194" i="5"/>
  <c r="B1195" i="5"/>
  <c r="B1196" i="5"/>
  <c r="B1197" i="5"/>
  <c r="B1198" i="5"/>
  <c r="B1199" i="5"/>
  <c r="E1199" i="5" s="1"/>
  <c r="B1200" i="5"/>
  <c r="E1200" i="5" s="1"/>
  <c r="B1201" i="5"/>
  <c r="B1202" i="5"/>
  <c r="D1202" i="5" s="1"/>
  <c r="B1203" i="5"/>
  <c r="B1204" i="5"/>
  <c r="B1205" i="5"/>
  <c r="E1205" i="5" s="1"/>
  <c r="B1206" i="5"/>
  <c r="E1206" i="5" s="1"/>
  <c r="B1207" i="5"/>
  <c r="E1207" i="5" s="1"/>
  <c r="B1208" i="5"/>
  <c r="B1209" i="5"/>
  <c r="B1210" i="5"/>
  <c r="B1211" i="5"/>
  <c r="B1212" i="5"/>
  <c r="B1213" i="5"/>
  <c r="B1214" i="5"/>
  <c r="B1215" i="5"/>
  <c r="B1216" i="5"/>
  <c r="E1216" i="5" s="1"/>
  <c r="B1217" i="5"/>
  <c r="B1218" i="5"/>
  <c r="D1218" i="5" s="1"/>
  <c r="B1219" i="5"/>
  <c r="B1220" i="5"/>
  <c r="B1221" i="5"/>
  <c r="E1221" i="5" s="1"/>
  <c r="B1222" i="5"/>
  <c r="E1222" i="5" s="1"/>
  <c r="B1223" i="5"/>
  <c r="E1223" i="5" s="1"/>
  <c r="B1224" i="5"/>
  <c r="B1225" i="5"/>
  <c r="B1226" i="5"/>
  <c r="B1227" i="5"/>
  <c r="B1228" i="5"/>
  <c r="B1229" i="5"/>
  <c r="B1230" i="5"/>
  <c r="B1231" i="5"/>
  <c r="B1232" i="5"/>
  <c r="E1232" i="5" s="1"/>
  <c r="B1233" i="5"/>
  <c r="B1234" i="5"/>
  <c r="E1234" i="5" s="1"/>
  <c r="B1235" i="5"/>
  <c r="B1236" i="5"/>
  <c r="E1236" i="5" s="1"/>
  <c r="B1237" i="5"/>
  <c r="B1238" i="5"/>
  <c r="E1238" i="5" s="1"/>
  <c r="B1239" i="5"/>
  <c r="B1240" i="5"/>
  <c r="B1241" i="5"/>
  <c r="B1242" i="5"/>
  <c r="B1243" i="5"/>
  <c r="B1244" i="5"/>
  <c r="B1245" i="5"/>
  <c r="B1246" i="5"/>
  <c r="B1247" i="5"/>
  <c r="B1248" i="5"/>
  <c r="E1248" i="5" s="1"/>
  <c r="B1249" i="5"/>
  <c r="B1250" i="5"/>
  <c r="D1250" i="5" s="1"/>
  <c r="B1251" i="5"/>
  <c r="B1252" i="5"/>
  <c r="E1252" i="5" s="1"/>
  <c r="B1253" i="5"/>
  <c r="B1254" i="5"/>
  <c r="E1254" i="5" s="1"/>
  <c r="B1255" i="5"/>
  <c r="E1255" i="5" s="1"/>
  <c r="B1256" i="5"/>
  <c r="B1257" i="5"/>
  <c r="B1258" i="5"/>
  <c r="B1259" i="5"/>
  <c r="B1260" i="5"/>
  <c r="B1261" i="5"/>
  <c r="B1262" i="5"/>
  <c r="B1263" i="5"/>
  <c r="B1264" i="5"/>
  <c r="E1264" i="5" s="1"/>
  <c r="B1265" i="5"/>
  <c r="B1266" i="5"/>
  <c r="D1266" i="5" s="1"/>
  <c r="B1267" i="5"/>
  <c r="B1268" i="5"/>
  <c r="B1269" i="5"/>
  <c r="E1269" i="5" s="1"/>
  <c r="B1270" i="5"/>
  <c r="E1270" i="5" s="1"/>
  <c r="B1271" i="5"/>
  <c r="E1271" i="5" s="1"/>
  <c r="B1272" i="5"/>
  <c r="E1272" i="5" s="1"/>
  <c r="B1273" i="5"/>
  <c r="E1273" i="5" s="1"/>
  <c r="B1274" i="5"/>
  <c r="B1275" i="5"/>
  <c r="B1276" i="5"/>
  <c r="B1277" i="5"/>
  <c r="B1278" i="5"/>
  <c r="B1279" i="5"/>
  <c r="E1279" i="5" s="1"/>
  <c r="B1280" i="5"/>
  <c r="E1280" i="5" s="1"/>
  <c r="B1281" i="5"/>
  <c r="B1282" i="5"/>
  <c r="D1282" i="5" s="1"/>
  <c r="B1283" i="5"/>
  <c r="B1284" i="5"/>
  <c r="B1285" i="5"/>
  <c r="E1285" i="5" s="1"/>
  <c r="B1286" i="5"/>
  <c r="E1286" i="5" s="1"/>
  <c r="B1287" i="5"/>
  <c r="E1287" i="5" s="1"/>
  <c r="B1288" i="5"/>
  <c r="B1289" i="5"/>
  <c r="B1290" i="5"/>
  <c r="B1291" i="5"/>
  <c r="B1292" i="5"/>
  <c r="B1293" i="5"/>
  <c r="B1294" i="5"/>
  <c r="B1295" i="5"/>
  <c r="B1296" i="5"/>
  <c r="E1296" i="5" s="1"/>
  <c r="B1297" i="5"/>
  <c r="B1298" i="5"/>
  <c r="B1299" i="5"/>
  <c r="B1300" i="5"/>
  <c r="B1301" i="5"/>
  <c r="B1302" i="5"/>
  <c r="E1302" i="5" s="1"/>
  <c r="B1303" i="5"/>
  <c r="E1303" i="5" s="1"/>
  <c r="B1304" i="5"/>
  <c r="E1304" i="5" s="1"/>
  <c r="B1305" i="5"/>
  <c r="B1306" i="5"/>
  <c r="B1307" i="5"/>
  <c r="B1308" i="5"/>
  <c r="B1309" i="5"/>
  <c r="B1310" i="5"/>
  <c r="B1311" i="5"/>
  <c r="E1311" i="5" s="1"/>
  <c r="B1312" i="5"/>
  <c r="E1312" i="5" s="1"/>
  <c r="B1313" i="5"/>
  <c r="B1314" i="5"/>
  <c r="D1314" i="5" s="1"/>
  <c r="B1315" i="5"/>
  <c r="B1316" i="5"/>
  <c r="B1317" i="5"/>
  <c r="B1318" i="5"/>
  <c r="E1318" i="5" s="1"/>
  <c r="B1319" i="5"/>
  <c r="E1319" i="5" s="1"/>
  <c r="B1320" i="5"/>
  <c r="B1321" i="5"/>
  <c r="B1322" i="5"/>
  <c r="B1323" i="5"/>
  <c r="B1324" i="5"/>
  <c r="B1325" i="5"/>
  <c r="B1326" i="5"/>
  <c r="B1327" i="5"/>
  <c r="B1328" i="5"/>
  <c r="E1328" i="5" s="1"/>
  <c r="B1329" i="5"/>
  <c r="B1330" i="5"/>
  <c r="D1330" i="5" s="1"/>
  <c r="B1331" i="5"/>
  <c r="B1332" i="5"/>
  <c r="E1332" i="5" s="1"/>
  <c r="B1333" i="5"/>
  <c r="E1333" i="5" s="1"/>
  <c r="B1334" i="5"/>
  <c r="E1334" i="5" s="1"/>
  <c r="B1335" i="5"/>
  <c r="E1335" i="5" s="1"/>
  <c r="B1336" i="5"/>
  <c r="B1337" i="5"/>
  <c r="B1338" i="5"/>
  <c r="B1339" i="5"/>
  <c r="B1340" i="5"/>
  <c r="B1341" i="5"/>
  <c r="B1342" i="5"/>
  <c r="D1342" i="5" s="1"/>
  <c r="B1343" i="5"/>
  <c r="B1344" i="5"/>
  <c r="B1345" i="5"/>
  <c r="B1346" i="5"/>
  <c r="D1346" i="5" s="1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E1360" i="5" s="1"/>
  <c r="B1361" i="5"/>
  <c r="B1362" i="5"/>
  <c r="D1362" i="5" s="1"/>
  <c r="B1363" i="5"/>
  <c r="B1364" i="5"/>
  <c r="E1364" i="5" s="1"/>
  <c r="B1365" i="5"/>
  <c r="E1365" i="5" s="1"/>
  <c r="B1366" i="5"/>
  <c r="E1366" i="5" s="1"/>
  <c r="B1367" i="5"/>
  <c r="E1367" i="5" s="1"/>
  <c r="B1368" i="5"/>
  <c r="E1368" i="5" s="1"/>
  <c r="B1369" i="5"/>
  <c r="E1369" i="5" s="1"/>
  <c r="B1370" i="5"/>
  <c r="B1371" i="5"/>
  <c r="B1372" i="5"/>
  <c r="B1373" i="5"/>
  <c r="B1374" i="5"/>
  <c r="B1375" i="5"/>
  <c r="B1376" i="5"/>
  <c r="E1376" i="5" s="1"/>
  <c r="B1377" i="5"/>
  <c r="B1378" i="5"/>
  <c r="D1378" i="5" s="1"/>
  <c r="B1379" i="5"/>
  <c r="D1379" i="5" s="1"/>
  <c r="B1380" i="5"/>
  <c r="E1380" i="5" s="1"/>
  <c r="B1381" i="5"/>
  <c r="E1381" i="5" s="1"/>
  <c r="B1382" i="5"/>
  <c r="E1382" i="5" s="1"/>
  <c r="B1383" i="5"/>
  <c r="E1383" i="5" s="1"/>
  <c r="B1384" i="5"/>
  <c r="B1385" i="5"/>
  <c r="B1386" i="5"/>
  <c r="B1387" i="5"/>
  <c r="B1388" i="5"/>
  <c r="B1389" i="5"/>
  <c r="B1390" i="5"/>
  <c r="B1391" i="5"/>
  <c r="B1392" i="5"/>
  <c r="E1392" i="5" s="1"/>
  <c r="B1393" i="5"/>
  <c r="B1394" i="5"/>
  <c r="D1394" i="5" s="1"/>
  <c r="B1395" i="5"/>
  <c r="B1396" i="5"/>
  <c r="B1397" i="5"/>
  <c r="B1398" i="5"/>
  <c r="E1398" i="5" s="1"/>
  <c r="B1399" i="5"/>
  <c r="E1399" i="5" s="1"/>
  <c r="B1400" i="5"/>
  <c r="E1400" i="5" s="1"/>
  <c r="B1401" i="5"/>
  <c r="B1402" i="5"/>
  <c r="B1403" i="5"/>
  <c r="B1404" i="5"/>
  <c r="B1405" i="5"/>
  <c r="B1406" i="5"/>
  <c r="B1407" i="5"/>
  <c r="B1408" i="5"/>
  <c r="E1408" i="5" s="1"/>
  <c r="B1409" i="5"/>
  <c r="B1410" i="5"/>
  <c r="D1410" i="5" s="1"/>
  <c r="B1411" i="5"/>
  <c r="B1412" i="5"/>
  <c r="E1412" i="5" s="1"/>
  <c r="B1413" i="5"/>
  <c r="E1413" i="5" s="1"/>
  <c r="B1414" i="5"/>
  <c r="E1414" i="5" s="1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D1426" i="5" s="1"/>
  <c r="B1427" i="5"/>
  <c r="B1428" i="5"/>
  <c r="E1428" i="5" s="1"/>
  <c r="B1429" i="5"/>
  <c r="E1429" i="5" s="1"/>
  <c r="B1430" i="5"/>
  <c r="E1430" i="5" s="1"/>
  <c r="B1431" i="5"/>
  <c r="E1431" i="5" s="1"/>
  <c r="B1432" i="5"/>
  <c r="E1432" i="5" s="1"/>
  <c r="B1433" i="5"/>
  <c r="B1434" i="5"/>
  <c r="B1435" i="5"/>
  <c r="B1436" i="5"/>
  <c r="B1437" i="5"/>
  <c r="B1438" i="5"/>
  <c r="B1439" i="5"/>
  <c r="B1440" i="5"/>
  <c r="E1440" i="5" s="1"/>
  <c r="B1441" i="5"/>
  <c r="B1442" i="5"/>
  <c r="D1442" i="5" s="1"/>
  <c r="B1443" i="5"/>
  <c r="B1444" i="5"/>
  <c r="E1444" i="5" s="1"/>
  <c r="B1445" i="5"/>
  <c r="E1445" i="5" s="1"/>
  <c r="B1446" i="5"/>
  <c r="E1446" i="5" s="1"/>
  <c r="B1447" i="5"/>
  <c r="E1447" i="5" s="1"/>
  <c r="B1448" i="5"/>
  <c r="E1448" i="5" s="1"/>
  <c r="B1449" i="5"/>
  <c r="B1450" i="5"/>
  <c r="B1451" i="5"/>
  <c r="B1452" i="5"/>
  <c r="B1453" i="5"/>
  <c r="B1454" i="5"/>
  <c r="B1455" i="5"/>
  <c r="B1456" i="5"/>
  <c r="E1456" i="5" s="1"/>
  <c r="B1457" i="5"/>
  <c r="B1458" i="5"/>
  <c r="D1458" i="5" s="1"/>
  <c r="B1459" i="5"/>
  <c r="B1460" i="5"/>
  <c r="E1460" i="5" s="1"/>
  <c r="B1461" i="5"/>
  <c r="B1462" i="5"/>
  <c r="E1462" i="5" s="1"/>
  <c r="B1463" i="5"/>
  <c r="E1463" i="5" s="1"/>
  <c r="B1464" i="5"/>
  <c r="B1465" i="5"/>
  <c r="B1466" i="5"/>
  <c r="B1467" i="5"/>
  <c r="B1468" i="5"/>
  <c r="B1469" i="5"/>
  <c r="B1470" i="5"/>
  <c r="B1471" i="5"/>
  <c r="B1472" i="5"/>
  <c r="B1473" i="5"/>
  <c r="B1474" i="5"/>
  <c r="D1474" i="5" s="1"/>
  <c r="B1475" i="5"/>
  <c r="B1476" i="5"/>
  <c r="E1476" i="5" s="1"/>
  <c r="B1477" i="5"/>
  <c r="B1478" i="5"/>
  <c r="E1478" i="5" s="1"/>
  <c r="B1479" i="5"/>
  <c r="E1479" i="5" s="1"/>
  <c r="B1480" i="5"/>
  <c r="B1481" i="5"/>
  <c r="B1482" i="5"/>
  <c r="B1483" i="5"/>
  <c r="B1484" i="5"/>
  <c r="B1485" i="5"/>
  <c r="B1486" i="5"/>
  <c r="B1487" i="5"/>
  <c r="B1488" i="5"/>
  <c r="E1488" i="5" s="1"/>
  <c r="B1489" i="5"/>
  <c r="B1490" i="5"/>
  <c r="D1490" i="5" s="1"/>
  <c r="B1491" i="5"/>
  <c r="D1491" i="5" s="1"/>
  <c r="B1492" i="5"/>
  <c r="E1492" i="5" s="1"/>
  <c r="B1493" i="5"/>
  <c r="E1493" i="5" s="1"/>
  <c r="B1494" i="5"/>
  <c r="B1495" i="5"/>
  <c r="E1495" i="5" s="1"/>
  <c r="B1496" i="5"/>
  <c r="E1496" i="5" s="1"/>
  <c r="B1497" i="5"/>
  <c r="B1498" i="5"/>
  <c r="B1499" i="5"/>
  <c r="B1500" i="5"/>
  <c r="B1501" i="5"/>
  <c r="B1502" i="5"/>
  <c r="B1503" i="5"/>
  <c r="B1504" i="5"/>
  <c r="E1504" i="5" s="1"/>
  <c r="B1505" i="5"/>
  <c r="B1506" i="5"/>
  <c r="B1507" i="5"/>
  <c r="B1508" i="5"/>
  <c r="E1508" i="5" s="1"/>
  <c r="B1509" i="5"/>
  <c r="B1510" i="5"/>
  <c r="E1510" i="5" s="1"/>
  <c r="B1511" i="5"/>
  <c r="E1511" i="5" s="1"/>
  <c r="B1512" i="5"/>
  <c r="B1513" i="5"/>
  <c r="B1514" i="5"/>
  <c r="B1515" i="5"/>
  <c r="B1516" i="5"/>
  <c r="B1517" i="5"/>
  <c r="B1518" i="5"/>
  <c r="B1519" i="5"/>
  <c r="B1520" i="5"/>
  <c r="E1520" i="5" s="1"/>
  <c r="B1521" i="5"/>
  <c r="B1522" i="5"/>
  <c r="B1523" i="5"/>
  <c r="B1524" i="5"/>
  <c r="B1525" i="5"/>
  <c r="B1526" i="5"/>
  <c r="E1526" i="5" s="1"/>
  <c r="B1527" i="5"/>
  <c r="E1527" i="5" s="1"/>
  <c r="B1528" i="5"/>
  <c r="E1528" i="5" s="1"/>
  <c r="B1529" i="5"/>
  <c r="E1529" i="5" s="1"/>
  <c r="B1530" i="5"/>
  <c r="B1531" i="5"/>
  <c r="B1532" i="5"/>
  <c r="E1532" i="5" s="1"/>
  <c r="B1533" i="5"/>
  <c r="B1534" i="5"/>
  <c r="D1534" i="5" s="1"/>
  <c r="B1535" i="5"/>
  <c r="B1536" i="5"/>
  <c r="B1537" i="5"/>
  <c r="B1538" i="5"/>
  <c r="B1539" i="5"/>
  <c r="B1540" i="5"/>
  <c r="B1541" i="5"/>
  <c r="E1541" i="5" s="1"/>
  <c r="B1542" i="5"/>
  <c r="B1543" i="5"/>
  <c r="E1543" i="5" s="1"/>
  <c r="B1544" i="5"/>
  <c r="B1545" i="5"/>
  <c r="B1546" i="5"/>
  <c r="B1547" i="5"/>
  <c r="B1548" i="5"/>
  <c r="B1549" i="5"/>
  <c r="B1550" i="5"/>
  <c r="B1551" i="5"/>
  <c r="B1552" i="5"/>
  <c r="E1552" i="5" s="1"/>
  <c r="B1553" i="5"/>
  <c r="D1553" i="5" s="1"/>
  <c r="B1554" i="5"/>
  <c r="D1554" i="5" s="1"/>
  <c r="B1555" i="5"/>
  <c r="D1555" i="5" s="1"/>
  <c r="B1556" i="5"/>
  <c r="E1556" i="5" s="1"/>
  <c r="B1557" i="5"/>
  <c r="E1557" i="5" s="1"/>
  <c r="B1558" i="5"/>
  <c r="E1558" i="5" s="1"/>
  <c r="B1559" i="5"/>
  <c r="E1559" i="5" s="1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E1572" i="5" s="1"/>
  <c r="B1573" i="5"/>
  <c r="E1573" i="5" s="1"/>
  <c r="B1574" i="5"/>
  <c r="B1575" i="5"/>
  <c r="B1576" i="5"/>
  <c r="B1577" i="5"/>
  <c r="E1577" i="5" s="1"/>
  <c r="B1578" i="5"/>
  <c r="B1579" i="5"/>
  <c r="B1580" i="5"/>
  <c r="B1581" i="5"/>
  <c r="B1582" i="5"/>
  <c r="B1583" i="5"/>
  <c r="B1584" i="5"/>
  <c r="E1584" i="5" s="1"/>
  <c r="B1585" i="5"/>
  <c r="B1586" i="5"/>
  <c r="B1587" i="5"/>
  <c r="B1588" i="5"/>
  <c r="B1589" i="5"/>
  <c r="B1590" i="5"/>
  <c r="E1590" i="5" s="1"/>
  <c r="B1591" i="5"/>
  <c r="E1591" i="5" s="1"/>
  <c r="B1592" i="5"/>
  <c r="B1593" i="5"/>
  <c r="E1593" i="5" s="1"/>
  <c r="B1594" i="5"/>
  <c r="B1595" i="5"/>
  <c r="B1596" i="5"/>
  <c r="E1596" i="5" s="1"/>
  <c r="B1597" i="5"/>
  <c r="B1598" i="5"/>
  <c r="D1598" i="5" s="1"/>
  <c r="B1599" i="5"/>
  <c r="E1599" i="5" s="1"/>
  <c r="B1600" i="5"/>
  <c r="E1600" i="5" s="1"/>
  <c r="B1601" i="5"/>
  <c r="D1601" i="5" s="1"/>
  <c r="B1602" i="5"/>
  <c r="B1603" i="5"/>
  <c r="B1604" i="5"/>
  <c r="B1605" i="5"/>
  <c r="B1606" i="5"/>
  <c r="E1606" i="5" s="1"/>
  <c r="B1607" i="5"/>
  <c r="E1607" i="5" s="1"/>
  <c r="B1608" i="5"/>
  <c r="E1608" i="5" s="1"/>
  <c r="B1609" i="5"/>
  <c r="E1609" i="5" s="1"/>
  <c r="B1610" i="5"/>
  <c r="B1611" i="5"/>
  <c r="B1612" i="5"/>
  <c r="B1613" i="5"/>
  <c r="B1614" i="5"/>
  <c r="B1615" i="5"/>
  <c r="B1616" i="5"/>
  <c r="E1616" i="5" s="1"/>
  <c r="B1617" i="5"/>
  <c r="B1618" i="5"/>
  <c r="B1619" i="5"/>
  <c r="B1620" i="5"/>
  <c r="E1620" i="5" s="1"/>
  <c r="B1621" i="5"/>
  <c r="E1621" i="5" s="1"/>
  <c r="B1622" i="5"/>
  <c r="E1622" i="5" s="1"/>
  <c r="B1623" i="5"/>
  <c r="E1623" i="5" s="1"/>
  <c r="B1624" i="5"/>
  <c r="B1625" i="5"/>
  <c r="B1626" i="5"/>
  <c r="B1627" i="5"/>
  <c r="B1628" i="5"/>
  <c r="B1629" i="5"/>
  <c r="B1630" i="5"/>
  <c r="D1630" i="5" s="1"/>
  <c r="B1631" i="5"/>
  <c r="B1632" i="5"/>
  <c r="E1632" i="5" s="1"/>
  <c r="B1633" i="5"/>
  <c r="B1634" i="5"/>
  <c r="D1634" i="5" s="1"/>
  <c r="B1635" i="5"/>
  <c r="D1635" i="5" s="1"/>
  <c r="B1636" i="5"/>
  <c r="E1636" i="5" s="1"/>
  <c r="B1637" i="5"/>
  <c r="E1637" i="5" s="1"/>
  <c r="B1638" i="5"/>
  <c r="E1638" i="5" s="1"/>
  <c r="B1639" i="5"/>
  <c r="E1639" i="5" s="1"/>
  <c r="B1640" i="5"/>
  <c r="B1641" i="5"/>
  <c r="B1642" i="5"/>
  <c r="B1643" i="5"/>
  <c r="B1644" i="5"/>
  <c r="B1645" i="5"/>
  <c r="B1646" i="5"/>
  <c r="B1647" i="5"/>
  <c r="B1648" i="5"/>
  <c r="E1648" i="5" s="1"/>
  <c r="B1649" i="5"/>
  <c r="B1650" i="5"/>
  <c r="B1651" i="5"/>
  <c r="B1652" i="5"/>
  <c r="E1652" i="5" s="1"/>
  <c r="B1653" i="5"/>
  <c r="E1653" i="5" s="1"/>
  <c r="B1654" i="5"/>
  <c r="B1655" i="5"/>
  <c r="B1656" i="5"/>
  <c r="B1657" i="5"/>
  <c r="B1658" i="5"/>
  <c r="B1659" i="5"/>
  <c r="B1660" i="5"/>
  <c r="B1661" i="5"/>
  <c r="B1662" i="5"/>
  <c r="B1663" i="5"/>
  <c r="B1664" i="5"/>
  <c r="E1664" i="5" s="1"/>
  <c r="B1665" i="5"/>
  <c r="B1666" i="5"/>
  <c r="B1667" i="5"/>
  <c r="B1668" i="5"/>
  <c r="E1668" i="5" s="1"/>
  <c r="B1669" i="5"/>
  <c r="E1669" i="5" s="1"/>
  <c r="B1670" i="5"/>
  <c r="E1670" i="5" s="1"/>
  <c r="B1671" i="5"/>
  <c r="E1671" i="5" s="1"/>
  <c r="B1672" i="5"/>
  <c r="E1672" i="5" s="1"/>
  <c r="B1673" i="5"/>
  <c r="B1674" i="5"/>
  <c r="B1675" i="5"/>
  <c r="B1676" i="5"/>
  <c r="B1677" i="5"/>
  <c r="B1678" i="5"/>
  <c r="B1679" i="5"/>
  <c r="B1680" i="5"/>
  <c r="E1680" i="5" s="1"/>
  <c r="B1681" i="5"/>
  <c r="B1682" i="5"/>
  <c r="B1683" i="5"/>
  <c r="B1684" i="5"/>
  <c r="E1684" i="5" s="1"/>
  <c r="B1685" i="5"/>
  <c r="E1685" i="5" s="1"/>
  <c r="B1686" i="5"/>
  <c r="E1686" i="5" s="1"/>
  <c r="B1687" i="5"/>
  <c r="B1688" i="5"/>
  <c r="B1689" i="5"/>
  <c r="B1690" i="5"/>
  <c r="B1691" i="5"/>
  <c r="B1692" i="5"/>
  <c r="B1693" i="5"/>
  <c r="B1694" i="5"/>
  <c r="B1695" i="5"/>
  <c r="E1695" i="5" s="1"/>
  <c r="B1696" i="5"/>
  <c r="D1696" i="5" s="1"/>
  <c r="B1697" i="5"/>
  <c r="B1698" i="5"/>
  <c r="B1699" i="5"/>
  <c r="B1700" i="5"/>
  <c r="E1700" i="5" s="1"/>
  <c r="B1701" i="5"/>
  <c r="E1701" i="5" s="1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E1718" i="5" s="1"/>
  <c r="B1719" i="5"/>
  <c r="B1720" i="5"/>
  <c r="B1721" i="5"/>
  <c r="B1722" i="5"/>
  <c r="B1723" i="5"/>
  <c r="B1724" i="5"/>
  <c r="B1725" i="5"/>
  <c r="B1726" i="5"/>
  <c r="D1726" i="5" s="1"/>
  <c r="B1727" i="5"/>
  <c r="E1727" i="5" s="1"/>
  <c r="B1728" i="5"/>
  <c r="D1728" i="5" s="1"/>
  <c r="B1729" i="5"/>
  <c r="D1729" i="5" s="1"/>
  <c r="B1730" i="5"/>
  <c r="B1731" i="5"/>
  <c r="D1731" i="5" s="1"/>
  <c r="B1732" i="5"/>
  <c r="E1732" i="5" s="1"/>
  <c r="B1733" i="5"/>
  <c r="B1734" i="5"/>
  <c r="E1734" i="5" s="1"/>
  <c r="B1735" i="5"/>
  <c r="E1735" i="5" s="1"/>
  <c r="B1736" i="5"/>
  <c r="E1736" i="5" s="1"/>
  <c r="B1737" i="5"/>
  <c r="B1738" i="5"/>
  <c r="B1739" i="5"/>
  <c r="B1740" i="5"/>
  <c r="B1741" i="5"/>
  <c r="B1742" i="5"/>
  <c r="B1743" i="5"/>
  <c r="E1743" i="5" s="1"/>
  <c r="B1744" i="5"/>
  <c r="E1744" i="5" s="1"/>
  <c r="B1745" i="5"/>
  <c r="B1746" i="5"/>
  <c r="B1747" i="5"/>
  <c r="B1748" i="5"/>
  <c r="B1749" i="5"/>
  <c r="E1749" i="5" s="1"/>
  <c r="B1750" i="5"/>
  <c r="E1750" i="5" s="1"/>
  <c r="B1751" i="5"/>
  <c r="E1751" i="5" s="1"/>
  <c r="B1752" i="5"/>
  <c r="B1753" i="5"/>
  <c r="B1754" i="5"/>
  <c r="B1755" i="5"/>
  <c r="E1755" i="5" s="1"/>
  <c r="B1756" i="5"/>
  <c r="B1757" i="5"/>
  <c r="B1758" i="5"/>
  <c r="E1758" i="5" s="1"/>
  <c r="B1759" i="5"/>
  <c r="E1759" i="5" s="1"/>
  <c r="B1760" i="5"/>
  <c r="E1760" i="5" s="1"/>
  <c r="B1761" i="5"/>
  <c r="B1762" i="5"/>
  <c r="B1763" i="5"/>
  <c r="B1764" i="5"/>
  <c r="B1765" i="5"/>
  <c r="E1765" i="5" s="1"/>
  <c r="B1766" i="5"/>
  <c r="E1766" i="5" s="1"/>
  <c r="B1767" i="5"/>
  <c r="E1767" i="5" s="1"/>
  <c r="B1768" i="5"/>
  <c r="B1769" i="5"/>
  <c r="B1770" i="5"/>
  <c r="B1771" i="5"/>
  <c r="B1772" i="5"/>
  <c r="B1773" i="5"/>
  <c r="E1773" i="5" s="1"/>
  <c r="B1774" i="5"/>
  <c r="E1774" i="5" s="1"/>
  <c r="B1775" i="5"/>
  <c r="E1775" i="5" s="1"/>
  <c r="B1776" i="5"/>
  <c r="B1777" i="5"/>
  <c r="B1778" i="5"/>
  <c r="B1779" i="5"/>
  <c r="B1780" i="5"/>
  <c r="E1780" i="5" s="1"/>
  <c r="B1781" i="5"/>
  <c r="E1781" i="5" s="1"/>
  <c r="B1782" i="5"/>
  <c r="B1783" i="5"/>
  <c r="E1783" i="5" s="1"/>
  <c r="B1784" i="5"/>
  <c r="B1785" i="5"/>
  <c r="B1786" i="5"/>
  <c r="B1787" i="5"/>
  <c r="B1788" i="5"/>
  <c r="B1789" i="5"/>
  <c r="B1790" i="5"/>
  <c r="E1790" i="5" s="1"/>
  <c r="B1791" i="5"/>
  <c r="E1791" i="5" s="1"/>
  <c r="B1792" i="5"/>
  <c r="B1793" i="5"/>
  <c r="D1793" i="5" s="1"/>
  <c r="B1794" i="5"/>
  <c r="D1794" i="5" s="1"/>
  <c r="B1795" i="5"/>
  <c r="B1796" i="5"/>
  <c r="E1796" i="5" s="1"/>
  <c r="B1797" i="5"/>
  <c r="E1797" i="5" s="1"/>
  <c r="B1798" i="5"/>
  <c r="E1798" i="5" s="1"/>
  <c r="B1799" i="5"/>
  <c r="E1799" i="5" s="1"/>
  <c r="B1800" i="5"/>
  <c r="E1800" i="5" s="1"/>
  <c r="B1801" i="5"/>
  <c r="B1802" i="5"/>
  <c r="B1803" i="5"/>
  <c r="B1804" i="5"/>
  <c r="B1805" i="5"/>
  <c r="B1806" i="5"/>
  <c r="E1806" i="5" s="1"/>
  <c r="B1807" i="5"/>
  <c r="E1807" i="5" s="1"/>
  <c r="B1808" i="5"/>
  <c r="E1808" i="5" s="1"/>
  <c r="B1809" i="5"/>
  <c r="B1810" i="5"/>
  <c r="B1811" i="5"/>
  <c r="B1812" i="5"/>
  <c r="B1813" i="5"/>
  <c r="E1813" i="5" s="1"/>
  <c r="B1814" i="5"/>
  <c r="E1814" i="5" s="1"/>
  <c r="B1815" i="5"/>
  <c r="E1815" i="5" s="1"/>
  <c r="B1816" i="5"/>
  <c r="E1816" i="5" s="1"/>
  <c r="B1817" i="5"/>
  <c r="E1817" i="5" s="1"/>
  <c r="B1818" i="5"/>
  <c r="B1819" i="5"/>
  <c r="B1820" i="5"/>
  <c r="B1821" i="5"/>
  <c r="B1822" i="5"/>
  <c r="E1822" i="5" s="1"/>
  <c r="B1823" i="5"/>
  <c r="E1823" i="5" s="1"/>
  <c r="B1824" i="5"/>
  <c r="E1824" i="5" s="1"/>
  <c r="B1825" i="5"/>
  <c r="D1825" i="5" s="1"/>
  <c r="B1826" i="5"/>
  <c r="D1826" i="5" s="1"/>
  <c r="B1827" i="5"/>
  <c r="D1827" i="5" s="1"/>
  <c r="B1828" i="5"/>
  <c r="E1828" i="5" s="1"/>
  <c r="F4" i="1"/>
  <c r="F6" i="1"/>
  <c r="G5" i="1"/>
  <c r="G4" i="1" s="1"/>
  <c r="G13" i="1" s="1"/>
  <c r="H8" i="1"/>
  <c r="F9" i="1"/>
  <c r="F8" i="1" s="1"/>
  <c r="G9" i="1"/>
  <c r="G8" i="1" s="1"/>
  <c r="E706" i="5" l="1"/>
  <c r="D1444" i="5"/>
  <c r="E498" i="5"/>
  <c r="E1218" i="5"/>
  <c r="E1090" i="5"/>
  <c r="E814" i="5"/>
  <c r="E642" i="5"/>
  <c r="E482" i="5"/>
  <c r="E146" i="5"/>
  <c r="D165" i="5"/>
  <c r="E850" i="5"/>
  <c r="E690" i="5"/>
  <c r="E658" i="5"/>
  <c r="D1234" i="5"/>
  <c r="E946" i="5"/>
  <c r="E638" i="5"/>
  <c r="E322" i="5"/>
  <c r="E142" i="5"/>
  <c r="D1173" i="5"/>
  <c r="D485" i="5"/>
  <c r="E1330" i="5"/>
  <c r="E1474" i="5"/>
  <c r="E1410" i="5"/>
  <c r="E1314" i="5"/>
  <c r="E194" i="5"/>
  <c r="D1445" i="5"/>
  <c r="E178" i="5"/>
  <c r="D773" i="5"/>
  <c r="E1601" i="5"/>
  <c r="E1282" i="5"/>
  <c r="E1186" i="5"/>
  <c r="E930" i="5"/>
  <c r="E450" i="5"/>
  <c r="E306" i="5"/>
  <c r="E130" i="5"/>
  <c r="D341" i="5"/>
  <c r="E1827" i="5"/>
  <c r="E993" i="5"/>
  <c r="E1394" i="5"/>
  <c r="D293" i="5"/>
  <c r="E1378" i="5"/>
  <c r="E1182" i="5"/>
  <c r="E802" i="5"/>
  <c r="E274" i="5"/>
  <c r="E126" i="5"/>
  <c r="D597" i="5"/>
  <c r="E962" i="5"/>
  <c r="D229" i="5"/>
  <c r="E1598" i="5"/>
  <c r="E786" i="5"/>
  <c r="E258" i="5"/>
  <c r="E114" i="5"/>
  <c r="E834" i="5"/>
  <c r="E1106" i="5"/>
  <c r="D184" i="5"/>
  <c r="E626" i="5"/>
  <c r="E434" i="5"/>
  <c r="E98" i="5"/>
  <c r="D164" i="5"/>
  <c r="E1490" i="5"/>
  <c r="E370" i="5"/>
  <c r="E1826" i="5"/>
  <c r="E354" i="5"/>
  <c r="E1825" i="5"/>
  <c r="E514" i="5"/>
  <c r="D180" i="5"/>
  <c r="E1728" i="5"/>
  <c r="E1266" i="5"/>
  <c r="E1042" i="5"/>
  <c r="E433" i="5"/>
  <c r="E226" i="5"/>
  <c r="E66" i="5"/>
  <c r="D1344" i="5"/>
  <c r="E1344" i="5"/>
  <c r="E656" i="5"/>
  <c r="D656" i="5"/>
  <c r="E624" i="5"/>
  <c r="D624" i="5"/>
  <c r="D1711" i="5"/>
  <c r="E1711" i="5"/>
  <c r="D1647" i="5"/>
  <c r="E1647" i="5"/>
  <c r="D1615" i="5"/>
  <c r="E1615" i="5"/>
  <c r="D1567" i="5"/>
  <c r="E1567" i="5"/>
  <c r="D1519" i="5"/>
  <c r="E1519" i="5"/>
  <c r="D1455" i="5"/>
  <c r="E1455" i="5"/>
  <c r="D1391" i="5"/>
  <c r="E1391" i="5"/>
  <c r="D1343" i="5"/>
  <c r="E1343" i="5"/>
  <c r="D1231" i="5"/>
  <c r="E1231" i="5"/>
  <c r="D1215" i="5"/>
  <c r="E1215" i="5"/>
  <c r="E1135" i="5"/>
  <c r="D1135" i="5"/>
  <c r="D975" i="5"/>
  <c r="E975" i="5"/>
  <c r="D927" i="5"/>
  <c r="E927" i="5"/>
  <c r="D879" i="5"/>
  <c r="E879" i="5"/>
  <c r="D847" i="5"/>
  <c r="E847" i="5"/>
  <c r="D799" i="5"/>
  <c r="E799" i="5"/>
  <c r="D767" i="5"/>
  <c r="E767" i="5"/>
  <c r="D735" i="5"/>
  <c r="E735" i="5"/>
  <c r="D639" i="5"/>
  <c r="D527" i="5"/>
  <c r="D495" i="5"/>
  <c r="E495" i="5"/>
  <c r="D447" i="5"/>
  <c r="E447" i="5"/>
  <c r="D399" i="5"/>
  <c r="E399" i="5"/>
  <c r="D351" i="5"/>
  <c r="E351" i="5"/>
  <c r="D303" i="5"/>
  <c r="E303" i="5"/>
  <c r="D255" i="5"/>
  <c r="E255" i="5"/>
  <c r="D143" i="5"/>
  <c r="D95" i="5"/>
  <c r="E95" i="5"/>
  <c r="D47" i="5"/>
  <c r="E47" i="5"/>
  <c r="E1635" i="5"/>
  <c r="E1554" i="5"/>
  <c r="D1795" i="5"/>
  <c r="E1795" i="5"/>
  <c r="D1763" i="5"/>
  <c r="E1763" i="5"/>
  <c r="D1747" i="5"/>
  <c r="E1747" i="5"/>
  <c r="D1715" i="5"/>
  <c r="E1715" i="5"/>
  <c r="D1683" i="5"/>
  <c r="E1683" i="5"/>
  <c r="D1603" i="5"/>
  <c r="E1603" i="5"/>
  <c r="D1587" i="5"/>
  <c r="E1587" i="5"/>
  <c r="D1571" i="5"/>
  <c r="E1571" i="5"/>
  <c r="D1539" i="5"/>
  <c r="E1539" i="5"/>
  <c r="D1523" i="5"/>
  <c r="E1523" i="5"/>
  <c r="D1507" i="5"/>
  <c r="E1507" i="5"/>
  <c r="D1475" i="5"/>
  <c r="E1475" i="5"/>
  <c r="D1443" i="5"/>
  <c r="E1443" i="5"/>
  <c r="D1411" i="5"/>
  <c r="E1411" i="5"/>
  <c r="D1395" i="5"/>
  <c r="E1395" i="5"/>
  <c r="D1363" i="5"/>
  <c r="E1363" i="5"/>
  <c r="E1331" i="5"/>
  <c r="D1331" i="5"/>
  <c r="D1299" i="5"/>
  <c r="E1299" i="5"/>
  <c r="D1267" i="5"/>
  <c r="E1267" i="5"/>
  <c r="E1235" i="5"/>
  <c r="D1235" i="5"/>
  <c r="D1203" i="5"/>
  <c r="E1203" i="5"/>
  <c r="D1171" i="5"/>
  <c r="E1171" i="5"/>
  <c r="D1139" i="5"/>
  <c r="E1139" i="5"/>
  <c r="E1123" i="5"/>
  <c r="D1123" i="5"/>
  <c r="D1091" i="5"/>
  <c r="E1091" i="5"/>
  <c r="D1059" i="5"/>
  <c r="E1059" i="5"/>
  <c r="D1027" i="5"/>
  <c r="E1027" i="5"/>
  <c r="D995" i="5"/>
  <c r="E995" i="5"/>
  <c r="D947" i="5"/>
  <c r="E947" i="5"/>
  <c r="D931" i="5"/>
  <c r="E931" i="5"/>
  <c r="D899" i="5"/>
  <c r="E899" i="5"/>
  <c r="D867" i="5"/>
  <c r="E867" i="5"/>
  <c r="D835" i="5"/>
  <c r="E835" i="5"/>
  <c r="D803" i="5"/>
  <c r="E803" i="5"/>
  <c r="D771" i="5"/>
  <c r="E771" i="5"/>
  <c r="D739" i="5"/>
  <c r="E739" i="5"/>
  <c r="D707" i="5"/>
  <c r="E707" i="5"/>
  <c r="D675" i="5"/>
  <c r="E675" i="5"/>
  <c r="D643" i="5"/>
  <c r="E643" i="5"/>
  <c r="D611" i="5"/>
  <c r="E611" i="5"/>
  <c r="D579" i="5"/>
  <c r="E579" i="5"/>
  <c r="D547" i="5"/>
  <c r="E547" i="5"/>
  <c r="D515" i="5"/>
  <c r="E515" i="5"/>
  <c r="D483" i="5"/>
  <c r="E483" i="5"/>
  <c r="D451" i="5"/>
  <c r="E451" i="5"/>
  <c r="D435" i="5"/>
  <c r="E435" i="5"/>
  <c r="D403" i="5"/>
  <c r="E403" i="5"/>
  <c r="D371" i="5"/>
  <c r="E371" i="5"/>
  <c r="D339" i="5"/>
  <c r="E339" i="5"/>
  <c r="D307" i="5"/>
  <c r="E307" i="5"/>
  <c r="D291" i="5"/>
  <c r="E291" i="5"/>
  <c r="D243" i="5"/>
  <c r="E243" i="5"/>
  <c r="D147" i="5"/>
  <c r="E147" i="5"/>
  <c r="D99" i="5"/>
  <c r="E99" i="5"/>
  <c r="D67" i="5"/>
  <c r="E67" i="5"/>
  <c r="D35" i="5"/>
  <c r="E35" i="5"/>
  <c r="D19" i="5"/>
  <c r="E19" i="5"/>
  <c r="E1778" i="5"/>
  <c r="D1778" i="5"/>
  <c r="D1730" i="5"/>
  <c r="E1730" i="5"/>
  <c r="D1698" i="5"/>
  <c r="E1698" i="5"/>
  <c r="D1666" i="5"/>
  <c r="E1666" i="5"/>
  <c r="D1650" i="5"/>
  <c r="E1650" i="5"/>
  <c r="D1618" i="5"/>
  <c r="E1618" i="5"/>
  <c r="D1602" i="5"/>
  <c r="E1602" i="5"/>
  <c r="D1570" i="5"/>
  <c r="E1570" i="5"/>
  <c r="E1538" i="5"/>
  <c r="D1538" i="5"/>
  <c r="D1506" i="5"/>
  <c r="E1506" i="5"/>
  <c r="D1809" i="5"/>
  <c r="E1809" i="5"/>
  <c r="E1777" i="5"/>
  <c r="D1777" i="5"/>
  <c r="E1697" i="5"/>
  <c r="D1697" i="5"/>
  <c r="D1665" i="5"/>
  <c r="E1665" i="5"/>
  <c r="D1633" i="5"/>
  <c r="E1633" i="5"/>
  <c r="D1617" i="5"/>
  <c r="E1617" i="5"/>
  <c r="D1521" i="5"/>
  <c r="E1521" i="5"/>
  <c r="D1489" i="5"/>
  <c r="E1489" i="5"/>
  <c r="D1457" i="5"/>
  <c r="E1457" i="5"/>
  <c r="E1425" i="5"/>
  <c r="D1425" i="5"/>
  <c r="D1393" i="5"/>
  <c r="E1393" i="5"/>
  <c r="D1361" i="5"/>
  <c r="E1361" i="5"/>
  <c r="D1329" i="5"/>
  <c r="E1329" i="5"/>
  <c r="D1297" i="5"/>
  <c r="E1297" i="5"/>
  <c r="D1265" i="5"/>
  <c r="E1265" i="5"/>
  <c r="D1249" i="5"/>
  <c r="E1249" i="5"/>
  <c r="D1217" i="5"/>
  <c r="E1217" i="5"/>
  <c r="D1185" i="5"/>
  <c r="E1185" i="5"/>
  <c r="D1153" i="5"/>
  <c r="E1153" i="5"/>
  <c r="D1137" i="5"/>
  <c r="E1137" i="5"/>
  <c r="E1121" i="5"/>
  <c r="D1121" i="5"/>
  <c r="D1089" i="5"/>
  <c r="E1089" i="5"/>
  <c r="D1057" i="5"/>
  <c r="E1057" i="5"/>
  <c r="D961" i="5"/>
  <c r="E961" i="5"/>
  <c r="D945" i="5"/>
  <c r="E945" i="5"/>
  <c r="D849" i="5"/>
  <c r="E849" i="5"/>
  <c r="D817" i="5"/>
  <c r="E817" i="5"/>
  <c r="D785" i="5"/>
  <c r="E785" i="5"/>
  <c r="D753" i="5"/>
  <c r="E753" i="5"/>
  <c r="D737" i="5"/>
  <c r="E737" i="5"/>
  <c r="D705" i="5"/>
  <c r="E705" i="5"/>
  <c r="D689" i="5"/>
  <c r="E689" i="5"/>
  <c r="D673" i="5"/>
  <c r="E673" i="5"/>
  <c r="D657" i="5"/>
  <c r="E657" i="5"/>
  <c r="D625" i="5"/>
  <c r="E625" i="5"/>
  <c r="D609" i="5"/>
  <c r="E609" i="5"/>
  <c r="D593" i="5"/>
  <c r="E593" i="5"/>
  <c r="D561" i="5"/>
  <c r="E561" i="5"/>
  <c r="D545" i="5"/>
  <c r="E545" i="5"/>
  <c r="D513" i="5"/>
  <c r="E513" i="5"/>
  <c r="D497" i="5"/>
  <c r="E497" i="5"/>
  <c r="D481" i="5"/>
  <c r="E481" i="5"/>
  <c r="D465" i="5"/>
  <c r="E465" i="5"/>
  <c r="D449" i="5"/>
  <c r="E449" i="5"/>
  <c r="D417" i="5"/>
  <c r="E417" i="5"/>
  <c r="D401" i="5"/>
  <c r="E401" i="5"/>
  <c r="D385" i="5"/>
  <c r="E385" i="5"/>
  <c r="D369" i="5"/>
  <c r="E369" i="5"/>
  <c r="D353" i="5"/>
  <c r="E353" i="5"/>
  <c r="E337" i="5"/>
  <c r="D337" i="5"/>
  <c r="D321" i="5"/>
  <c r="E321" i="5"/>
  <c r="D305" i="5"/>
  <c r="E305" i="5"/>
  <c r="D289" i="5"/>
  <c r="E289" i="5"/>
  <c r="D273" i="5"/>
  <c r="E273" i="5"/>
  <c r="D257" i="5"/>
  <c r="E257" i="5"/>
  <c r="D241" i="5"/>
  <c r="E241" i="5"/>
  <c r="D225" i="5"/>
  <c r="E225" i="5"/>
  <c r="D209" i="5"/>
  <c r="E209" i="5"/>
  <c r="D193" i="5"/>
  <c r="E193" i="5"/>
  <c r="D177" i="5"/>
  <c r="E177" i="5"/>
  <c r="D161" i="5"/>
  <c r="E161" i="5"/>
  <c r="D145" i="5"/>
  <c r="E145" i="5"/>
  <c r="D129" i="5"/>
  <c r="E129" i="5"/>
  <c r="E113" i="5"/>
  <c r="D113" i="5"/>
  <c r="D97" i="5"/>
  <c r="E97" i="5"/>
  <c r="D81" i="5"/>
  <c r="E81" i="5"/>
  <c r="D65" i="5"/>
  <c r="E65" i="5"/>
  <c r="D49" i="5"/>
  <c r="E49" i="5"/>
  <c r="D33" i="5"/>
  <c r="E33" i="5"/>
  <c r="D17" i="5"/>
  <c r="E17" i="5"/>
  <c r="E1105" i="5"/>
  <c r="E1712" i="5"/>
  <c r="D1712" i="5"/>
  <c r="D1568" i="5"/>
  <c r="E1568" i="5"/>
  <c r="D1424" i="5"/>
  <c r="E1424" i="5"/>
  <c r="E1024" i="5"/>
  <c r="D1024" i="5"/>
  <c r="D976" i="5"/>
  <c r="E976" i="5"/>
  <c r="D944" i="5"/>
  <c r="E944" i="5"/>
  <c r="D832" i="5"/>
  <c r="E832" i="5"/>
  <c r="D384" i="5"/>
  <c r="E384" i="5"/>
  <c r="E320" i="5"/>
  <c r="D320" i="5"/>
  <c r="D80" i="5"/>
  <c r="E80" i="5"/>
  <c r="D1679" i="5"/>
  <c r="E1679" i="5"/>
  <c r="D1631" i="5"/>
  <c r="E1631" i="5"/>
  <c r="D1583" i="5"/>
  <c r="E1583" i="5"/>
  <c r="D1535" i="5"/>
  <c r="E1535" i="5"/>
  <c r="D1487" i="5"/>
  <c r="E1487" i="5"/>
  <c r="D1439" i="5"/>
  <c r="E1439" i="5"/>
  <c r="D1407" i="5"/>
  <c r="E1407" i="5"/>
  <c r="D1375" i="5"/>
  <c r="E1375" i="5"/>
  <c r="D1327" i="5"/>
  <c r="D1295" i="5"/>
  <c r="E1295" i="5"/>
  <c r="D1247" i="5"/>
  <c r="E1247" i="5"/>
  <c r="D1183" i="5"/>
  <c r="D1167" i="5"/>
  <c r="E1167" i="5"/>
  <c r="D1119" i="5"/>
  <c r="E1119" i="5"/>
  <c r="D1087" i="5"/>
  <c r="E1087" i="5"/>
  <c r="D1055" i="5"/>
  <c r="E1055" i="5"/>
  <c r="D1007" i="5"/>
  <c r="E1007" i="5"/>
  <c r="D959" i="5"/>
  <c r="E959" i="5"/>
  <c r="D911" i="5"/>
  <c r="E911" i="5"/>
  <c r="D863" i="5"/>
  <c r="E863" i="5"/>
  <c r="D831" i="5"/>
  <c r="E831" i="5"/>
  <c r="D783" i="5"/>
  <c r="E783" i="5"/>
  <c r="D751" i="5"/>
  <c r="E751" i="5"/>
  <c r="D703" i="5"/>
  <c r="E703" i="5"/>
  <c r="D671" i="5"/>
  <c r="E671" i="5"/>
  <c r="D623" i="5"/>
  <c r="E623" i="5"/>
  <c r="D591" i="5"/>
  <c r="E591" i="5"/>
  <c r="D559" i="5"/>
  <c r="E559" i="5"/>
  <c r="D511" i="5"/>
  <c r="E511" i="5"/>
  <c r="D463" i="5"/>
  <c r="E463" i="5"/>
  <c r="D415" i="5"/>
  <c r="E415" i="5"/>
  <c r="D367" i="5"/>
  <c r="E367" i="5"/>
  <c r="D319" i="5"/>
  <c r="E319" i="5"/>
  <c r="D287" i="5"/>
  <c r="E287" i="5"/>
  <c r="D239" i="5"/>
  <c r="E239" i="5"/>
  <c r="D223" i="5"/>
  <c r="E223" i="5"/>
  <c r="D191" i="5"/>
  <c r="E191" i="5"/>
  <c r="D159" i="5"/>
  <c r="E159" i="5"/>
  <c r="D111" i="5"/>
  <c r="E111" i="5"/>
  <c r="D79" i="5"/>
  <c r="E79" i="5"/>
  <c r="D15" i="5"/>
  <c r="E15" i="5"/>
  <c r="D1742" i="5"/>
  <c r="E1742" i="5"/>
  <c r="E1696" i="5"/>
  <c r="E639" i="5"/>
  <c r="D1311" i="5"/>
  <c r="D1811" i="5"/>
  <c r="E1811" i="5"/>
  <c r="D1779" i="5"/>
  <c r="E1779" i="5"/>
  <c r="D1699" i="5"/>
  <c r="E1699" i="5"/>
  <c r="E1667" i="5"/>
  <c r="D1667" i="5"/>
  <c r="D1651" i="5"/>
  <c r="E1651" i="5"/>
  <c r="D1619" i="5"/>
  <c r="E1619" i="5"/>
  <c r="D1459" i="5"/>
  <c r="E1459" i="5"/>
  <c r="D1427" i="5"/>
  <c r="E1427" i="5"/>
  <c r="D1347" i="5"/>
  <c r="E1347" i="5"/>
  <c r="D1315" i="5"/>
  <c r="E1315" i="5"/>
  <c r="D1283" i="5"/>
  <c r="E1283" i="5"/>
  <c r="D1251" i="5"/>
  <c r="E1251" i="5"/>
  <c r="D1219" i="5"/>
  <c r="E1219" i="5"/>
  <c r="D1187" i="5"/>
  <c r="E1187" i="5"/>
  <c r="D1155" i="5"/>
  <c r="E1155" i="5"/>
  <c r="D1107" i="5"/>
  <c r="E1107" i="5"/>
  <c r="D1075" i="5"/>
  <c r="E1075" i="5"/>
  <c r="D1043" i="5"/>
  <c r="E1043" i="5"/>
  <c r="D1011" i="5"/>
  <c r="E1011" i="5"/>
  <c r="D979" i="5"/>
  <c r="E979" i="5"/>
  <c r="D963" i="5"/>
  <c r="E963" i="5"/>
  <c r="D915" i="5"/>
  <c r="E915" i="5"/>
  <c r="D883" i="5"/>
  <c r="E883" i="5"/>
  <c r="D851" i="5"/>
  <c r="E851" i="5"/>
  <c r="D819" i="5"/>
  <c r="E819" i="5"/>
  <c r="D787" i="5"/>
  <c r="E787" i="5"/>
  <c r="D755" i="5"/>
  <c r="E755" i="5"/>
  <c r="E723" i="5"/>
  <c r="D723" i="5"/>
  <c r="D691" i="5"/>
  <c r="E691" i="5"/>
  <c r="D659" i="5"/>
  <c r="E659" i="5"/>
  <c r="D627" i="5"/>
  <c r="E627" i="5"/>
  <c r="D595" i="5"/>
  <c r="E595" i="5"/>
  <c r="D563" i="5"/>
  <c r="E563" i="5"/>
  <c r="D531" i="5"/>
  <c r="E531" i="5"/>
  <c r="D499" i="5"/>
  <c r="E499" i="5"/>
  <c r="D467" i="5"/>
  <c r="E467" i="5"/>
  <c r="D419" i="5"/>
  <c r="E419" i="5"/>
  <c r="D387" i="5"/>
  <c r="E387" i="5"/>
  <c r="D355" i="5"/>
  <c r="E355" i="5"/>
  <c r="D323" i="5"/>
  <c r="E323" i="5"/>
  <c r="D275" i="5"/>
  <c r="E275" i="5"/>
  <c r="D259" i="5"/>
  <c r="E259" i="5"/>
  <c r="D227" i="5"/>
  <c r="E227" i="5"/>
  <c r="D211" i="5"/>
  <c r="E211" i="5"/>
  <c r="D195" i="5"/>
  <c r="E195" i="5"/>
  <c r="D163" i="5"/>
  <c r="E163" i="5"/>
  <c r="D131" i="5"/>
  <c r="E131" i="5"/>
  <c r="D115" i="5"/>
  <c r="E115" i="5"/>
  <c r="D83" i="5"/>
  <c r="E83" i="5"/>
  <c r="D51" i="5"/>
  <c r="E51" i="5"/>
  <c r="D3" i="5"/>
  <c r="E3" i="5"/>
  <c r="D1810" i="5"/>
  <c r="E1810" i="5"/>
  <c r="D1762" i="5"/>
  <c r="E1762" i="5"/>
  <c r="D1746" i="5"/>
  <c r="E1746" i="5"/>
  <c r="D1714" i="5"/>
  <c r="E1714" i="5"/>
  <c r="D1682" i="5"/>
  <c r="E1682" i="5"/>
  <c r="D1586" i="5"/>
  <c r="E1586" i="5"/>
  <c r="D1522" i="5"/>
  <c r="E1522" i="5"/>
  <c r="D1761" i="5"/>
  <c r="E1761" i="5"/>
  <c r="D1745" i="5"/>
  <c r="E1745" i="5"/>
  <c r="E1713" i="5"/>
  <c r="D1713" i="5"/>
  <c r="D1681" i="5"/>
  <c r="E1681" i="5"/>
  <c r="D1649" i="5"/>
  <c r="E1649" i="5"/>
  <c r="D1585" i="5"/>
  <c r="E1585" i="5"/>
  <c r="D1569" i="5"/>
  <c r="E1569" i="5"/>
  <c r="E1537" i="5"/>
  <c r="D1537" i="5"/>
  <c r="D1505" i="5"/>
  <c r="E1505" i="5"/>
  <c r="D1473" i="5"/>
  <c r="E1473" i="5"/>
  <c r="D1441" i="5"/>
  <c r="E1441" i="5"/>
  <c r="D1409" i="5"/>
  <c r="E1409" i="5"/>
  <c r="D1377" i="5"/>
  <c r="E1377" i="5"/>
  <c r="E1345" i="5"/>
  <c r="D1345" i="5"/>
  <c r="D1313" i="5"/>
  <c r="E1313" i="5"/>
  <c r="D1281" i="5"/>
  <c r="E1281" i="5"/>
  <c r="D1233" i="5"/>
  <c r="E1233" i="5"/>
  <c r="D1201" i="5"/>
  <c r="E1201" i="5"/>
  <c r="D1169" i="5"/>
  <c r="E1169" i="5"/>
  <c r="D1073" i="5"/>
  <c r="E1073" i="5"/>
  <c r="D1041" i="5"/>
  <c r="E1041" i="5"/>
  <c r="D1025" i="5"/>
  <c r="E1025" i="5"/>
  <c r="D1009" i="5"/>
  <c r="E1009" i="5"/>
  <c r="D977" i="5"/>
  <c r="E977" i="5"/>
  <c r="D929" i="5"/>
  <c r="E929" i="5"/>
  <c r="D913" i="5"/>
  <c r="E913" i="5"/>
  <c r="D897" i="5"/>
  <c r="E897" i="5"/>
  <c r="D865" i="5"/>
  <c r="E865" i="5"/>
  <c r="D833" i="5"/>
  <c r="E833" i="5"/>
  <c r="D801" i="5"/>
  <c r="E801" i="5"/>
  <c r="D769" i="5"/>
  <c r="E769" i="5"/>
  <c r="E721" i="5"/>
  <c r="D721" i="5"/>
  <c r="D577" i="5"/>
  <c r="E577" i="5"/>
  <c r="D179" i="5"/>
  <c r="E1379" i="5"/>
  <c r="D1792" i="5"/>
  <c r="E1792" i="5"/>
  <c r="E1776" i="5"/>
  <c r="D1776" i="5"/>
  <c r="E1536" i="5"/>
  <c r="D1536" i="5"/>
  <c r="D1472" i="5"/>
  <c r="E1472" i="5"/>
  <c r="D1136" i="5"/>
  <c r="E1136" i="5"/>
  <c r="D496" i="5"/>
  <c r="E496" i="5"/>
  <c r="D1695" i="5"/>
  <c r="D1663" i="5"/>
  <c r="E1663" i="5"/>
  <c r="D1599" i="5"/>
  <c r="D1551" i="5"/>
  <c r="E1551" i="5"/>
  <c r="D1503" i="5"/>
  <c r="E1503" i="5"/>
  <c r="D1471" i="5"/>
  <c r="E1471" i="5"/>
  <c r="D1423" i="5"/>
  <c r="E1423" i="5"/>
  <c r="D1359" i="5"/>
  <c r="E1359" i="5"/>
  <c r="D1263" i="5"/>
  <c r="E1263" i="5"/>
  <c r="D1151" i="5"/>
  <c r="E1151" i="5"/>
  <c r="E1103" i="5"/>
  <c r="D1103" i="5"/>
  <c r="D1071" i="5"/>
  <c r="E1071" i="5"/>
  <c r="D1039" i="5"/>
  <c r="E1039" i="5"/>
  <c r="D991" i="5"/>
  <c r="E991" i="5"/>
  <c r="D943" i="5"/>
  <c r="E943" i="5"/>
  <c r="D895" i="5"/>
  <c r="E895" i="5"/>
  <c r="D815" i="5"/>
  <c r="D719" i="5"/>
  <c r="D687" i="5"/>
  <c r="E687" i="5"/>
  <c r="D655" i="5"/>
  <c r="E655" i="5"/>
  <c r="D607" i="5"/>
  <c r="E607" i="5"/>
  <c r="D575" i="5"/>
  <c r="E575" i="5"/>
  <c r="D543" i="5"/>
  <c r="E543" i="5"/>
  <c r="D479" i="5"/>
  <c r="E479" i="5"/>
  <c r="D431" i="5"/>
  <c r="E431" i="5"/>
  <c r="D383" i="5"/>
  <c r="E383" i="5"/>
  <c r="D335" i="5"/>
  <c r="E335" i="5"/>
  <c r="D271" i="5"/>
  <c r="E271" i="5"/>
  <c r="D207" i="5"/>
  <c r="D175" i="5"/>
  <c r="E175" i="5"/>
  <c r="D127" i="5"/>
  <c r="E127" i="5"/>
  <c r="D63" i="5"/>
  <c r="E63" i="5"/>
  <c r="D31" i="5"/>
  <c r="E31" i="5"/>
  <c r="E1183" i="5"/>
  <c r="E641" i="5"/>
  <c r="E1634" i="5"/>
  <c r="E1491" i="5"/>
  <c r="D1279" i="5"/>
  <c r="E1555" i="5"/>
  <c r="E143" i="5"/>
  <c r="D1199" i="5"/>
  <c r="E1731" i="5"/>
  <c r="E1553" i="5"/>
  <c r="D1023" i="5"/>
  <c r="E1729" i="5"/>
  <c r="E1327" i="5"/>
  <c r="D1694" i="5"/>
  <c r="E1694" i="5"/>
  <c r="D1662" i="5"/>
  <c r="E1662" i="5"/>
  <c r="D1486" i="5"/>
  <c r="E1486" i="5"/>
  <c r="D1438" i="5"/>
  <c r="E1438" i="5"/>
  <c r="D1390" i="5"/>
  <c r="E1390" i="5"/>
  <c r="D1358" i="5"/>
  <c r="E1358" i="5"/>
  <c r="D1326" i="5"/>
  <c r="E1326" i="5"/>
  <c r="E1278" i="5"/>
  <c r="D1278" i="5"/>
  <c r="D1230" i="5"/>
  <c r="E1230" i="5"/>
  <c r="D1198" i="5"/>
  <c r="E1198" i="5"/>
  <c r="D1150" i="5"/>
  <c r="E1150" i="5"/>
  <c r="E1102" i="5"/>
  <c r="D1102" i="5"/>
  <c r="D974" i="5"/>
  <c r="E974" i="5"/>
  <c r="E942" i="5"/>
  <c r="D942" i="5"/>
  <c r="D910" i="5"/>
  <c r="E910" i="5"/>
  <c r="D862" i="5"/>
  <c r="E862" i="5"/>
  <c r="D830" i="5"/>
  <c r="E830" i="5"/>
  <c r="D734" i="5"/>
  <c r="E734" i="5"/>
  <c r="D702" i="5"/>
  <c r="E702" i="5"/>
  <c r="D606" i="5"/>
  <c r="E606" i="5"/>
  <c r="D478" i="5"/>
  <c r="E478" i="5"/>
  <c r="D430" i="5"/>
  <c r="E430" i="5"/>
  <c r="D302" i="5"/>
  <c r="E302" i="5"/>
  <c r="D270" i="5"/>
  <c r="E270" i="5"/>
  <c r="D222" i="5"/>
  <c r="E222" i="5"/>
  <c r="D174" i="5"/>
  <c r="E174" i="5"/>
  <c r="D94" i="5"/>
  <c r="E94" i="5"/>
  <c r="D46" i="5"/>
  <c r="E46" i="5"/>
  <c r="D1789" i="5"/>
  <c r="E1789" i="5"/>
  <c r="D1741" i="5"/>
  <c r="E1741" i="5"/>
  <c r="D1709" i="5"/>
  <c r="E1709" i="5"/>
  <c r="D1677" i="5"/>
  <c r="E1677" i="5"/>
  <c r="D1629" i="5"/>
  <c r="E1629" i="5"/>
  <c r="D1581" i="5"/>
  <c r="E1581" i="5"/>
  <c r="D1533" i="5"/>
  <c r="E1533" i="5"/>
  <c r="D1485" i="5"/>
  <c r="E1485" i="5"/>
  <c r="D1437" i="5"/>
  <c r="E1437" i="5"/>
  <c r="D1405" i="5"/>
  <c r="E1405" i="5"/>
  <c r="D1357" i="5"/>
  <c r="E1357" i="5"/>
  <c r="D1309" i="5"/>
  <c r="E1309" i="5"/>
  <c r="D1293" i="5"/>
  <c r="E1293" i="5"/>
  <c r="D1261" i="5"/>
  <c r="E1261" i="5"/>
  <c r="D1181" i="5"/>
  <c r="D1133" i="5"/>
  <c r="E1133" i="5"/>
  <c r="D925" i="5"/>
  <c r="D877" i="5"/>
  <c r="D829" i="5"/>
  <c r="E829" i="5"/>
  <c r="D781" i="5"/>
  <c r="D637" i="5"/>
  <c r="D605" i="5"/>
  <c r="E605" i="5"/>
  <c r="D557" i="5"/>
  <c r="E557" i="5"/>
  <c r="D525" i="5"/>
  <c r="E525" i="5"/>
  <c r="D493" i="5"/>
  <c r="E493" i="5"/>
  <c r="D381" i="5"/>
  <c r="D349" i="5"/>
  <c r="E349" i="5"/>
  <c r="D301" i="5"/>
  <c r="E301" i="5"/>
  <c r="D189" i="5"/>
  <c r="E189" i="5"/>
  <c r="D141" i="5"/>
  <c r="E141" i="5"/>
  <c r="D109" i="5"/>
  <c r="E109" i="5"/>
  <c r="D61" i="5"/>
  <c r="E61" i="5"/>
  <c r="D13" i="5"/>
  <c r="E13" i="5"/>
  <c r="D1021" i="5"/>
  <c r="E1726" i="5"/>
  <c r="D1804" i="5"/>
  <c r="E1804" i="5"/>
  <c r="D1724" i="5"/>
  <c r="D1708" i="5"/>
  <c r="E1708" i="5"/>
  <c r="D1676" i="5"/>
  <c r="E1676" i="5"/>
  <c r="D1644" i="5"/>
  <c r="E1644" i="5"/>
  <c r="D1612" i="5"/>
  <c r="E1612" i="5"/>
  <c r="D1580" i="5"/>
  <c r="E1580" i="5"/>
  <c r="D1548" i="5"/>
  <c r="E1548" i="5"/>
  <c r="D1484" i="5"/>
  <c r="E1484" i="5"/>
  <c r="D1468" i="5"/>
  <c r="E1468" i="5"/>
  <c r="D1420" i="5"/>
  <c r="E1420" i="5"/>
  <c r="D1372" i="5"/>
  <c r="E1372" i="5"/>
  <c r="D1324" i="5"/>
  <c r="E1324" i="5"/>
  <c r="D1276" i="5"/>
  <c r="E1276" i="5"/>
  <c r="D1228" i="5"/>
  <c r="D1196" i="5"/>
  <c r="E1196" i="5"/>
  <c r="D1164" i="5"/>
  <c r="E1164" i="5"/>
  <c r="D1116" i="5"/>
  <c r="E1116" i="5"/>
  <c r="D1068" i="5"/>
  <c r="E1068" i="5"/>
  <c r="D1020" i="5"/>
  <c r="E1020" i="5"/>
  <c r="D972" i="5"/>
  <c r="E972" i="5"/>
  <c r="D924" i="5"/>
  <c r="E924" i="5"/>
  <c r="D892" i="5"/>
  <c r="E892" i="5"/>
  <c r="D828" i="5"/>
  <c r="D780" i="5"/>
  <c r="D748" i="5"/>
  <c r="E748" i="5"/>
  <c r="D700" i="5"/>
  <c r="E700" i="5"/>
  <c r="D668" i="5"/>
  <c r="E668" i="5"/>
  <c r="D588" i="5"/>
  <c r="D540" i="5"/>
  <c r="E540" i="5"/>
  <c r="D492" i="5"/>
  <c r="E492" i="5"/>
  <c r="D460" i="5"/>
  <c r="E460" i="5"/>
  <c r="D380" i="5"/>
  <c r="D348" i="5"/>
  <c r="E348" i="5"/>
  <c r="D284" i="5"/>
  <c r="D236" i="5"/>
  <c r="E236" i="5"/>
  <c r="D220" i="5"/>
  <c r="E220" i="5"/>
  <c r="D172" i="5"/>
  <c r="E172" i="5"/>
  <c r="D140" i="5"/>
  <c r="E140" i="5"/>
  <c r="D108" i="5"/>
  <c r="E108" i="5"/>
  <c r="D60" i="5"/>
  <c r="E60" i="5"/>
  <c r="D12" i="5"/>
  <c r="E12" i="5"/>
  <c r="D1819" i="5"/>
  <c r="E1819" i="5"/>
  <c r="D1787" i="5"/>
  <c r="E1787" i="5"/>
  <c r="D1771" i="5"/>
  <c r="E1771" i="5"/>
  <c r="D1723" i="5"/>
  <c r="D1691" i="5"/>
  <c r="E1691" i="5"/>
  <c r="D1675" i="5"/>
  <c r="E1675" i="5"/>
  <c r="D1643" i="5"/>
  <c r="E1643" i="5"/>
  <c r="D1627" i="5"/>
  <c r="E1627" i="5"/>
  <c r="D1595" i="5"/>
  <c r="E1595" i="5"/>
  <c r="D1563" i="5"/>
  <c r="E1563" i="5"/>
  <c r="D1531" i="5"/>
  <c r="E1531" i="5"/>
  <c r="D1499" i="5"/>
  <c r="E1499" i="5"/>
  <c r="D1451" i="5"/>
  <c r="E1451" i="5"/>
  <c r="D1435" i="5"/>
  <c r="E1435" i="5"/>
  <c r="D1403" i="5"/>
  <c r="E1403" i="5"/>
  <c r="D1387" i="5"/>
  <c r="E1387" i="5"/>
  <c r="D1355" i="5"/>
  <c r="E1355" i="5"/>
  <c r="D1339" i="5"/>
  <c r="E1339" i="5"/>
  <c r="D1323" i="5"/>
  <c r="E1323" i="5"/>
  <c r="D1275" i="5"/>
  <c r="D1259" i="5"/>
  <c r="E1259" i="5"/>
  <c r="D1227" i="5"/>
  <c r="D1195" i="5"/>
  <c r="E1195" i="5"/>
  <c r="D1147" i="5"/>
  <c r="E1147" i="5"/>
  <c r="D1083" i="5"/>
  <c r="E1083" i="5"/>
  <c r="D1003" i="5"/>
  <c r="D923" i="5"/>
  <c r="D891" i="5"/>
  <c r="E891" i="5"/>
  <c r="D859" i="5"/>
  <c r="E859" i="5"/>
  <c r="D811" i="5"/>
  <c r="E811" i="5"/>
  <c r="D747" i="5"/>
  <c r="D699" i="5"/>
  <c r="E699" i="5"/>
  <c r="D651" i="5"/>
  <c r="E651" i="5"/>
  <c r="D619" i="5"/>
  <c r="E619" i="5"/>
  <c r="D571" i="5"/>
  <c r="E571" i="5"/>
  <c r="D523" i="5"/>
  <c r="E523" i="5"/>
  <c r="D475" i="5"/>
  <c r="E475" i="5"/>
  <c r="D379" i="5"/>
  <c r="D347" i="5"/>
  <c r="E347" i="5"/>
  <c r="D283" i="5"/>
  <c r="E283" i="5"/>
  <c r="D251" i="5"/>
  <c r="E251" i="5"/>
  <c r="D219" i="5"/>
  <c r="E219" i="5"/>
  <c r="D171" i="5"/>
  <c r="E171" i="5"/>
  <c r="D107" i="5"/>
  <c r="E107" i="5"/>
  <c r="D75" i="5"/>
  <c r="E75" i="5"/>
  <c r="D11" i="5"/>
  <c r="E11" i="5"/>
  <c r="E1227" i="5"/>
  <c r="E782" i="5"/>
  <c r="E590" i="5"/>
  <c r="E381" i="5"/>
  <c r="D1818" i="5"/>
  <c r="D1754" i="5"/>
  <c r="E1754" i="5"/>
  <c r="D1706" i="5"/>
  <c r="E1706" i="5"/>
  <c r="D1658" i="5"/>
  <c r="E1658" i="5"/>
  <c r="D1594" i="5"/>
  <c r="E1594" i="5"/>
  <c r="D1546" i="5"/>
  <c r="E1546" i="5"/>
  <c r="D1482" i="5"/>
  <c r="E1482" i="5"/>
  <c r="D1418" i="5"/>
  <c r="E1418" i="5"/>
  <c r="D1242" i="5"/>
  <c r="D1066" i="5"/>
  <c r="E1066" i="5"/>
  <c r="D1710" i="5"/>
  <c r="E1710" i="5"/>
  <c r="D1582" i="5"/>
  <c r="E1582" i="5"/>
  <c r="D1566" i="5"/>
  <c r="E1566" i="5"/>
  <c r="D1502" i="5"/>
  <c r="E1502" i="5"/>
  <c r="D1454" i="5"/>
  <c r="E1454" i="5"/>
  <c r="D1406" i="5"/>
  <c r="E1406" i="5"/>
  <c r="D1374" i="5"/>
  <c r="E1374" i="5"/>
  <c r="D1294" i="5"/>
  <c r="E1294" i="5"/>
  <c r="D1246" i="5"/>
  <c r="E1246" i="5"/>
  <c r="D1134" i="5"/>
  <c r="E1134" i="5"/>
  <c r="D1086" i="5"/>
  <c r="E1086" i="5"/>
  <c r="E1054" i="5"/>
  <c r="D1054" i="5"/>
  <c r="D894" i="5"/>
  <c r="E894" i="5"/>
  <c r="D846" i="5"/>
  <c r="E846" i="5"/>
  <c r="D750" i="5"/>
  <c r="E750" i="5"/>
  <c r="D670" i="5"/>
  <c r="E670" i="5"/>
  <c r="D558" i="5"/>
  <c r="E558" i="5"/>
  <c r="D510" i="5"/>
  <c r="E510" i="5"/>
  <c r="D462" i="5"/>
  <c r="E462" i="5"/>
  <c r="D414" i="5"/>
  <c r="E414" i="5"/>
  <c r="D382" i="5"/>
  <c r="E382" i="5"/>
  <c r="D350" i="5"/>
  <c r="E350" i="5"/>
  <c r="D206" i="5"/>
  <c r="E206" i="5"/>
  <c r="D110" i="5"/>
  <c r="E110" i="5"/>
  <c r="D62" i="5"/>
  <c r="E62" i="5"/>
  <c r="D14" i="5"/>
  <c r="E14" i="5"/>
  <c r="D1022" i="5"/>
  <c r="E718" i="5"/>
  <c r="D1805" i="5"/>
  <c r="E1805" i="5"/>
  <c r="D1757" i="5"/>
  <c r="E1757" i="5"/>
  <c r="D1725" i="5"/>
  <c r="E1725" i="5"/>
  <c r="D1661" i="5"/>
  <c r="E1661" i="5"/>
  <c r="D1597" i="5"/>
  <c r="E1597" i="5"/>
  <c r="D1549" i="5"/>
  <c r="E1549" i="5"/>
  <c r="D1501" i="5"/>
  <c r="E1501" i="5"/>
  <c r="D1453" i="5"/>
  <c r="E1453" i="5"/>
  <c r="D1389" i="5"/>
  <c r="E1389" i="5"/>
  <c r="D1341" i="5"/>
  <c r="E1341" i="5"/>
  <c r="D1245" i="5"/>
  <c r="D1197" i="5"/>
  <c r="E1197" i="5"/>
  <c r="D1165" i="5"/>
  <c r="E1165" i="5"/>
  <c r="D1117" i="5"/>
  <c r="E1117" i="5"/>
  <c r="D1101" i="5"/>
  <c r="E1101" i="5"/>
  <c r="D1085" i="5"/>
  <c r="E1085" i="5"/>
  <c r="D1053" i="5"/>
  <c r="E1053" i="5"/>
  <c r="E1005" i="5"/>
  <c r="D1005" i="5"/>
  <c r="D973" i="5"/>
  <c r="E973" i="5"/>
  <c r="E941" i="5"/>
  <c r="D941" i="5"/>
  <c r="D909" i="5"/>
  <c r="E909" i="5"/>
  <c r="D893" i="5"/>
  <c r="E893" i="5"/>
  <c r="D861" i="5"/>
  <c r="E861" i="5"/>
  <c r="D845" i="5"/>
  <c r="E845" i="5"/>
  <c r="E797" i="5"/>
  <c r="D797" i="5"/>
  <c r="D765" i="5"/>
  <c r="E765" i="5"/>
  <c r="D749" i="5"/>
  <c r="E749" i="5"/>
  <c r="D701" i="5"/>
  <c r="E701" i="5"/>
  <c r="D669" i="5"/>
  <c r="E669" i="5"/>
  <c r="D589" i="5"/>
  <c r="D541" i="5"/>
  <c r="E541" i="5"/>
  <c r="D477" i="5"/>
  <c r="D445" i="5"/>
  <c r="E445" i="5"/>
  <c r="D413" i="5"/>
  <c r="E413" i="5"/>
  <c r="D333" i="5"/>
  <c r="D285" i="5"/>
  <c r="D269" i="5"/>
  <c r="E269" i="5"/>
  <c r="D221" i="5"/>
  <c r="E221" i="5"/>
  <c r="D173" i="5"/>
  <c r="E173" i="5"/>
  <c r="D77" i="5"/>
  <c r="D45" i="5"/>
  <c r="E45" i="5"/>
  <c r="D1788" i="5"/>
  <c r="E1788" i="5"/>
  <c r="D1756" i="5"/>
  <c r="D1692" i="5"/>
  <c r="D1660" i="5"/>
  <c r="E1660" i="5"/>
  <c r="D1596" i="5"/>
  <c r="D1564" i="5"/>
  <c r="E1564" i="5"/>
  <c r="D1500" i="5"/>
  <c r="E1500" i="5"/>
  <c r="D1452" i="5"/>
  <c r="E1452" i="5"/>
  <c r="D1404" i="5"/>
  <c r="E1404" i="5"/>
  <c r="D1356" i="5"/>
  <c r="E1356" i="5"/>
  <c r="D1308" i="5"/>
  <c r="E1308" i="5"/>
  <c r="D1244" i="5"/>
  <c r="D1212" i="5"/>
  <c r="E1212" i="5"/>
  <c r="D1132" i="5"/>
  <c r="D1084" i="5"/>
  <c r="E1084" i="5"/>
  <c r="D1036" i="5"/>
  <c r="E1036" i="5"/>
  <c r="D988" i="5"/>
  <c r="E988" i="5"/>
  <c r="D956" i="5"/>
  <c r="E956" i="5"/>
  <c r="D876" i="5"/>
  <c r="D812" i="5"/>
  <c r="D716" i="5"/>
  <c r="D636" i="5"/>
  <c r="D604" i="5"/>
  <c r="E604" i="5"/>
  <c r="D556" i="5"/>
  <c r="E556" i="5"/>
  <c r="D508" i="5"/>
  <c r="E508" i="5"/>
  <c r="D444" i="5"/>
  <c r="E444" i="5"/>
  <c r="D412" i="5"/>
  <c r="E412" i="5"/>
  <c r="D332" i="5"/>
  <c r="D316" i="5"/>
  <c r="E316" i="5"/>
  <c r="D268" i="5"/>
  <c r="E268" i="5"/>
  <c r="D204" i="5"/>
  <c r="E204" i="5"/>
  <c r="D92" i="5"/>
  <c r="D44" i="5"/>
  <c r="E44" i="5"/>
  <c r="E877" i="5"/>
  <c r="D1179" i="5"/>
  <c r="D1163" i="5"/>
  <c r="E1163" i="5"/>
  <c r="D1115" i="5"/>
  <c r="E1115" i="5"/>
  <c r="D1067" i="5"/>
  <c r="E1067" i="5"/>
  <c r="D1035" i="5"/>
  <c r="E1035" i="5"/>
  <c r="D987" i="5"/>
  <c r="E987" i="5"/>
  <c r="D939" i="5"/>
  <c r="E939" i="5"/>
  <c r="D907" i="5"/>
  <c r="E907" i="5"/>
  <c r="D827" i="5"/>
  <c r="D795" i="5"/>
  <c r="E795" i="5"/>
  <c r="D763" i="5"/>
  <c r="E763" i="5"/>
  <c r="D715" i="5"/>
  <c r="E715" i="5"/>
  <c r="D635" i="5"/>
  <c r="D603" i="5"/>
  <c r="E603" i="5"/>
  <c r="D555" i="5"/>
  <c r="E555" i="5"/>
  <c r="D491" i="5"/>
  <c r="D443" i="5"/>
  <c r="E443" i="5"/>
  <c r="D427" i="5"/>
  <c r="E427" i="5"/>
  <c r="D395" i="5"/>
  <c r="E395" i="5"/>
  <c r="D363" i="5"/>
  <c r="E363" i="5"/>
  <c r="D315" i="5"/>
  <c r="E315" i="5"/>
  <c r="D203" i="5"/>
  <c r="D155" i="5"/>
  <c r="E155" i="5"/>
  <c r="D123" i="5"/>
  <c r="E123" i="5"/>
  <c r="D91" i="5"/>
  <c r="E91" i="5"/>
  <c r="D43" i="5"/>
  <c r="E43" i="5"/>
  <c r="E1723" i="5"/>
  <c r="E1630" i="5"/>
  <c r="E285" i="5"/>
  <c r="D1802" i="5"/>
  <c r="E1802" i="5"/>
  <c r="D1770" i="5"/>
  <c r="E1770" i="5"/>
  <c r="D1722" i="5"/>
  <c r="E1722" i="5"/>
  <c r="D1690" i="5"/>
  <c r="E1690" i="5"/>
  <c r="D1642" i="5"/>
  <c r="E1642" i="5"/>
  <c r="D1626" i="5"/>
  <c r="E1626" i="5"/>
  <c r="D1578" i="5"/>
  <c r="E1578" i="5"/>
  <c r="D1530" i="5"/>
  <c r="E1530" i="5"/>
  <c r="D1498" i="5"/>
  <c r="E1498" i="5"/>
  <c r="D1466" i="5"/>
  <c r="E1466" i="5"/>
  <c r="D1434" i="5"/>
  <c r="E1434" i="5"/>
  <c r="D1386" i="5"/>
  <c r="E1386" i="5"/>
  <c r="D1354" i="5"/>
  <c r="E1354" i="5"/>
  <c r="D1306" i="5"/>
  <c r="D1290" i="5"/>
  <c r="E1290" i="5"/>
  <c r="D1258" i="5"/>
  <c r="E1258" i="5"/>
  <c r="D1210" i="5"/>
  <c r="E1210" i="5"/>
  <c r="D1194" i="5"/>
  <c r="E1194" i="5"/>
  <c r="D1162" i="5"/>
  <c r="E1162" i="5"/>
  <c r="D1114" i="5"/>
  <c r="D1050" i="5"/>
  <c r="D1018" i="5"/>
  <c r="E1018" i="5"/>
  <c r="D986" i="5"/>
  <c r="E986" i="5"/>
  <c r="D970" i="5"/>
  <c r="E970" i="5"/>
  <c r="D954" i="5"/>
  <c r="E954" i="5"/>
  <c r="D938" i="5"/>
  <c r="E938" i="5"/>
  <c r="D906" i="5"/>
  <c r="E906" i="5"/>
  <c r="D890" i="5"/>
  <c r="E890" i="5"/>
  <c r="D858" i="5"/>
  <c r="E858" i="5"/>
  <c r="D826" i="5"/>
  <c r="E826" i="5"/>
  <c r="D810" i="5"/>
  <c r="E810" i="5"/>
  <c r="D746" i="5"/>
  <c r="D730" i="5"/>
  <c r="E730" i="5"/>
  <c r="D714" i="5"/>
  <c r="E714" i="5"/>
  <c r="D666" i="5"/>
  <c r="E666" i="5"/>
  <c r="D618" i="5"/>
  <c r="E618" i="5"/>
  <c r="D586" i="5"/>
  <c r="D554" i="5"/>
  <c r="E554" i="5"/>
  <c r="D522" i="5"/>
  <c r="E522" i="5"/>
  <c r="D490" i="5"/>
  <c r="E490" i="5"/>
  <c r="D474" i="5"/>
  <c r="E474" i="5"/>
  <c r="D458" i="5"/>
  <c r="E458" i="5"/>
  <c r="D378" i="5"/>
  <c r="D362" i="5"/>
  <c r="E362" i="5"/>
  <c r="D298" i="5"/>
  <c r="E298" i="5"/>
  <c r="E588" i="5"/>
  <c r="E477" i="5"/>
  <c r="E379" i="5"/>
  <c r="E1275" i="5"/>
  <c r="E378" i="5"/>
  <c r="D1678" i="5"/>
  <c r="E1678" i="5"/>
  <c r="D1646" i="5"/>
  <c r="E1646" i="5"/>
  <c r="D1614" i="5"/>
  <c r="E1614" i="5"/>
  <c r="D1550" i="5"/>
  <c r="E1550" i="5"/>
  <c r="D1518" i="5"/>
  <c r="E1518" i="5"/>
  <c r="D1470" i="5"/>
  <c r="E1470" i="5"/>
  <c r="D1422" i="5"/>
  <c r="E1422" i="5"/>
  <c r="D1310" i="5"/>
  <c r="E1310" i="5"/>
  <c r="D1262" i="5"/>
  <c r="E1262" i="5"/>
  <c r="D1214" i="5"/>
  <c r="E1214" i="5"/>
  <c r="D1166" i="5"/>
  <c r="E1166" i="5"/>
  <c r="D1118" i="5"/>
  <c r="E1118" i="5"/>
  <c r="D1070" i="5"/>
  <c r="E1070" i="5"/>
  <c r="D1038" i="5"/>
  <c r="E1038" i="5"/>
  <c r="D958" i="5"/>
  <c r="E958" i="5"/>
  <c r="D798" i="5"/>
  <c r="E798" i="5"/>
  <c r="D686" i="5"/>
  <c r="E686" i="5"/>
  <c r="D654" i="5"/>
  <c r="E654" i="5"/>
  <c r="D622" i="5"/>
  <c r="E622" i="5"/>
  <c r="D574" i="5"/>
  <c r="E574" i="5"/>
  <c r="D542" i="5"/>
  <c r="E542" i="5"/>
  <c r="D494" i="5"/>
  <c r="E494" i="5"/>
  <c r="D446" i="5"/>
  <c r="E446" i="5"/>
  <c r="D398" i="5"/>
  <c r="E398" i="5"/>
  <c r="D366" i="5"/>
  <c r="E366" i="5"/>
  <c r="D318" i="5"/>
  <c r="E318" i="5"/>
  <c r="D286" i="5"/>
  <c r="E286" i="5"/>
  <c r="D238" i="5"/>
  <c r="E238" i="5"/>
  <c r="D190" i="5"/>
  <c r="E190" i="5"/>
  <c r="D158" i="5"/>
  <c r="E158" i="5"/>
  <c r="D30" i="5"/>
  <c r="E30" i="5"/>
  <c r="E1534" i="5"/>
  <c r="D1821" i="5"/>
  <c r="E1693" i="5"/>
  <c r="D1693" i="5"/>
  <c r="D1645" i="5"/>
  <c r="E1645" i="5"/>
  <c r="D1613" i="5"/>
  <c r="E1613" i="5"/>
  <c r="D1565" i="5"/>
  <c r="E1565" i="5"/>
  <c r="D1517" i="5"/>
  <c r="E1517" i="5"/>
  <c r="D1469" i="5"/>
  <c r="E1469" i="5"/>
  <c r="D1421" i="5"/>
  <c r="E1421" i="5"/>
  <c r="D1373" i="5"/>
  <c r="E1373" i="5"/>
  <c r="D1325" i="5"/>
  <c r="E1325" i="5"/>
  <c r="D1277" i="5"/>
  <c r="E1277" i="5"/>
  <c r="D1229" i="5"/>
  <c r="E1229" i="5"/>
  <c r="D1213" i="5"/>
  <c r="E1213" i="5"/>
  <c r="D1149" i="5"/>
  <c r="E1149" i="5"/>
  <c r="D1069" i="5"/>
  <c r="D1037" i="5"/>
  <c r="E1037" i="5"/>
  <c r="D989" i="5"/>
  <c r="E989" i="5"/>
  <c r="D957" i="5"/>
  <c r="E957" i="5"/>
  <c r="D813" i="5"/>
  <c r="D685" i="5"/>
  <c r="E685" i="5"/>
  <c r="D653" i="5"/>
  <c r="E653" i="5"/>
  <c r="E621" i="5"/>
  <c r="D621" i="5"/>
  <c r="E573" i="5"/>
  <c r="D573" i="5"/>
  <c r="D509" i="5"/>
  <c r="D461" i="5"/>
  <c r="E461" i="5"/>
  <c r="E429" i="5"/>
  <c r="D429" i="5"/>
  <c r="D397" i="5"/>
  <c r="E397" i="5"/>
  <c r="D365" i="5"/>
  <c r="E365" i="5"/>
  <c r="E317" i="5"/>
  <c r="D317" i="5"/>
  <c r="D253" i="5"/>
  <c r="D205" i="5"/>
  <c r="E205" i="5"/>
  <c r="D157" i="5"/>
  <c r="E157" i="5"/>
  <c r="D125" i="5"/>
  <c r="E125" i="5"/>
  <c r="D93" i="5"/>
  <c r="E93" i="5"/>
  <c r="D29" i="5"/>
  <c r="E29" i="5"/>
  <c r="E878" i="5"/>
  <c r="D1820" i="5"/>
  <c r="D1772" i="5"/>
  <c r="E1772" i="5"/>
  <c r="D1740" i="5"/>
  <c r="E1740" i="5"/>
  <c r="D1628" i="5"/>
  <c r="D1532" i="5"/>
  <c r="D1516" i="5"/>
  <c r="E1516" i="5"/>
  <c r="D1436" i="5"/>
  <c r="E1436" i="5"/>
  <c r="D1388" i="5"/>
  <c r="E1388" i="5"/>
  <c r="D1340" i="5"/>
  <c r="E1340" i="5"/>
  <c r="D1292" i="5"/>
  <c r="E1292" i="5"/>
  <c r="D1260" i="5"/>
  <c r="E1260" i="5"/>
  <c r="D1180" i="5"/>
  <c r="D1148" i="5"/>
  <c r="E1148" i="5"/>
  <c r="D1100" i="5"/>
  <c r="E1100" i="5"/>
  <c r="D1052" i="5"/>
  <c r="E1052" i="5"/>
  <c r="D1004" i="5"/>
  <c r="E1004" i="5"/>
  <c r="D940" i="5"/>
  <c r="E940" i="5"/>
  <c r="D908" i="5"/>
  <c r="E908" i="5"/>
  <c r="D860" i="5"/>
  <c r="E860" i="5"/>
  <c r="D844" i="5"/>
  <c r="E844" i="5"/>
  <c r="D796" i="5"/>
  <c r="E796" i="5"/>
  <c r="D764" i="5"/>
  <c r="E764" i="5"/>
  <c r="D732" i="5"/>
  <c r="E732" i="5"/>
  <c r="D684" i="5"/>
  <c r="E684" i="5"/>
  <c r="D652" i="5"/>
  <c r="E652" i="5"/>
  <c r="D620" i="5"/>
  <c r="E620" i="5"/>
  <c r="D572" i="5"/>
  <c r="E572" i="5"/>
  <c r="D524" i="5"/>
  <c r="E524" i="5"/>
  <c r="D476" i="5"/>
  <c r="E476" i="5"/>
  <c r="D428" i="5"/>
  <c r="E428" i="5"/>
  <c r="D396" i="5"/>
  <c r="E396" i="5"/>
  <c r="D364" i="5"/>
  <c r="E364" i="5"/>
  <c r="D300" i="5"/>
  <c r="E300" i="5"/>
  <c r="D252" i="5"/>
  <c r="E252" i="5"/>
  <c r="D188" i="5"/>
  <c r="E188" i="5"/>
  <c r="D156" i="5"/>
  <c r="E156" i="5"/>
  <c r="D124" i="5"/>
  <c r="E124" i="5"/>
  <c r="D76" i="5"/>
  <c r="E76" i="5"/>
  <c r="D28" i="5"/>
  <c r="E28" i="5"/>
  <c r="D1006" i="5"/>
  <c r="E1724" i="5"/>
  <c r="E1228" i="5"/>
  <c r="D1803" i="5"/>
  <c r="E1803" i="5"/>
  <c r="D1755" i="5"/>
  <c r="D1739" i="5"/>
  <c r="E1739" i="5"/>
  <c r="D1707" i="5"/>
  <c r="E1707" i="5"/>
  <c r="D1659" i="5"/>
  <c r="D1611" i="5"/>
  <c r="E1611" i="5"/>
  <c r="D1579" i="5"/>
  <c r="E1579" i="5"/>
  <c r="D1547" i="5"/>
  <c r="E1547" i="5"/>
  <c r="D1515" i="5"/>
  <c r="E1515" i="5"/>
  <c r="D1483" i="5"/>
  <c r="E1483" i="5"/>
  <c r="D1467" i="5"/>
  <c r="E1467" i="5"/>
  <c r="D1419" i="5"/>
  <c r="E1419" i="5"/>
  <c r="D1371" i="5"/>
  <c r="E1371" i="5"/>
  <c r="D1307" i="5"/>
  <c r="D1291" i="5"/>
  <c r="E1291" i="5"/>
  <c r="D1243" i="5"/>
  <c r="D1211" i="5"/>
  <c r="E1211" i="5"/>
  <c r="D1131" i="5"/>
  <c r="D1099" i="5"/>
  <c r="E1099" i="5"/>
  <c r="D1051" i="5"/>
  <c r="E1051" i="5"/>
  <c r="D1019" i="5"/>
  <c r="E1019" i="5"/>
  <c r="D971" i="5"/>
  <c r="E971" i="5"/>
  <c r="D955" i="5"/>
  <c r="E955" i="5"/>
  <c r="D875" i="5"/>
  <c r="D843" i="5"/>
  <c r="E843" i="5"/>
  <c r="D779" i="5"/>
  <c r="D731" i="5"/>
  <c r="E731" i="5"/>
  <c r="D683" i="5"/>
  <c r="E683" i="5"/>
  <c r="D667" i="5"/>
  <c r="E667" i="5"/>
  <c r="D587" i="5"/>
  <c r="D539" i="5"/>
  <c r="E539" i="5"/>
  <c r="D507" i="5"/>
  <c r="E507" i="5"/>
  <c r="D459" i="5"/>
  <c r="E459" i="5"/>
  <c r="D411" i="5"/>
  <c r="E411" i="5"/>
  <c r="D331" i="5"/>
  <c r="D299" i="5"/>
  <c r="E299" i="5"/>
  <c r="D267" i="5"/>
  <c r="E267" i="5"/>
  <c r="D235" i="5"/>
  <c r="E235" i="5"/>
  <c r="D187" i="5"/>
  <c r="E187" i="5"/>
  <c r="D139" i="5"/>
  <c r="E139" i="5"/>
  <c r="D59" i="5"/>
  <c r="E59" i="5"/>
  <c r="D27" i="5"/>
  <c r="E27" i="5"/>
  <c r="D1786" i="5"/>
  <c r="E1786" i="5"/>
  <c r="D1738" i="5"/>
  <c r="E1738" i="5"/>
  <c r="D1674" i="5"/>
  <c r="E1674" i="5"/>
  <c r="D1610" i="5"/>
  <c r="E1610" i="5"/>
  <c r="D1562" i="5"/>
  <c r="E1562" i="5"/>
  <c r="D1514" i="5"/>
  <c r="E1514" i="5"/>
  <c r="D1450" i="5"/>
  <c r="E1450" i="5"/>
  <c r="D1402" i="5"/>
  <c r="E1402" i="5"/>
  <c r="D1370" i="5"/>
  <c r="E1370" i="5"/>
  <c r="D1338" i="5"/>
  <c r="E1338" i="5"/>
  <c r="D1322" i="5"/>
  <c r="E1322" i="5"/>
  <c r="D1274" i="5"/>
  <c r="D1226" i="5"/>
  <c r="E1226" i="5"/>
  <c r="D1178" i="5"/>
  <c r="D1146" i="5"/>
  <c r="E1146" i="5"/>
  <c r="D1130" i="5"/>
  <c r="E1130" i="5"/>
  <c r="D1098" i="5"/>
  <c r="E1098" i="5"/>
  <c r="D1082" i="5"/>
  <c r="E1082" i="5"/>
  <c r="D1034" i="5"/>
  <c r="E1034" i="5"/>
  <c r="D1002" i="5"/>
  <c r="D922" i="5"/>
  <c r="D874" i="5"/>
  <c r="D842" i="5"/>
  <c r="E842" i="5"/>
  <c r="D794" i="5"/>
  <c r="E794" i="5"/>
  <c r="D778" i="5"/>
  <c r="E778" i="5"/>
  <c r="D762" i="5"/>
  <c r="E762" i="5"/>
  <c r="D698" i="5"/>
  <c r="D682" i="5"/>
  <c r="E682" i="5"/>
  <c r="D650" i="5"/>
  <c r="E650" i="5"/>
  <c r="D634" i="5"/>
  <c r="E634" i="5"/>
  <c r="D602" i="5"/>
  <c r="E602" i="5"/>
  <c r="D570" i="5"/>
  <c r="D538" i="5"/>
  <c r="E538" i="5"/>
  <c r="D506" i="5"/>
  <c r="E506" i="5"/>
  <c r="D442" i="5"/>
  <c r="D426" i="5"/>
  <c r="E426" i="5"/>
  <c r="D410" i="5"/>
  <c r="E410" i="5"/>
  <c r="D394" i="5"/>
  <c r="E394" i="5"/>
  <c r="D346" i="5"/>
  <c r="E346" i="5"/>
  <c r="D330" i="5"/>
  <c r="D314" i="5"/>
  <c r="E314" i="5"/>
  <c r="D282" i="5"/>
  <c r="E282" i="5"/>
  <c r="D266" i="5"/>
  <c r="E266" i="5"/>
  <c r="D250" i="5"/>
  <c r="E250" i="5"/>
  <c r="D234" i="5"/>
  <c r="E234" i="5"/>
  <c r="D218" i="5"/>
  <c r="E218" i="5"/>
  <c r="D202" i="5"/>
  <c r="D186" i="5"/>
  <c r="D170" i="5"/>
  <c r="E170" i="5"/>
  <c r="D154" i="5"/>
  <c r="E154" i="5"/>
  <c r="D138" i="5"/>
  <c r="E138" i="5"/>
  <c r="D122" i="5"/>
  <c r="E122" i="5"/>
  <c r="D106" i="5"/>
  <c r="E106" i="5"/>
  <c r="D90" i="5"/>
  <c r="E90" i="5"/>
  <c r="D74" i="5"/>
  <c r="E74" i="5"/>
  <c r="D58" i="5"/>
  <c r="E58" i="5"/>
  <c r="D42" i="5"/>
  <c r="E42" i="5"/>
  <c r="D26" i="5"/>
  <c r="E26" i="5"/>
  <c r="D10" i="5"/>
  <c r="E10" i="5"/>
  <c r="D1773" i="5"/>
  <c r="D733" i="5"/>
  <c r="E1628" i="5"/>
  <c r="E1050" i="5"/>
  <c r="E875" i="5"/>
  <c r="E781" i="5"/>
  <c r="E589" i="5"/>
  <c r="E380" i="5"/>
  <c r="E284" i="5"/>
  <c r="E78" i="5"/>
  <c r="D1065" i="5"/>
  <c r="E1132" i="5"/>
  <c r="E780" i="5"/>
  <c r="E77" i="5"/>
  <c r="D717" i="5"/>
  <c r="E1756" i="5"/>
  <c r="E1659" i="5"/>
  <c r="E1274" i="5"/>
  <c r="E926" i="5"/>
  <c r="E586" i="5"/>
  <c r="E1342" i="5"/>
  <c r="E766" i="5"/>
  <c r="D237" i="5"/>
  <c r="E254" i="5"/>
  <c r="D1001" i="5"/>
  <c r="E1001" i="5"/>
  <c r="D921" i="5"/>
  <c r="D841" i="5"/>
  <c r="D745" i="5"/>
  <c r="D633" i="5"/>
  <c r="D585" i="5"/>
  <c r="E585" i="5"/>
  <c r="D505" i="5"/>
  <c r="D473" i="5"/>
  <c r="E473" i="5"/>
  <c r="D377" i="5"/>
  <c r="E633" i="5"/>
  <c r="D1816" i="5"/>
  <c r="D1736" i="5"/>
  <c r="D1688" i="5"/>
  <c r="E1688" i="5"/>
  <c r="D1640" i="5"/>
  <c r="E1640" i="5"/>
  <c r="D1576" i="5"/>
  <c r="D1544" i="5"/>
  <c r="E1544" i="5"/>
  <c r="D1480" i="5"/>
  <c r="E1480" i="5"/>
  <c r="D1416" i="5"/>
  <c r="D1352" i="5"/>
  <c r="D1272" i="5"/>
  <c r="D1208" i="5"/>
  <c r="E1208" i="5"/>
  <c r="D1176" i="5"/>
  <c r="E1176" i="5"/>
  <c r="D1128" i="5"/>
  <c r="E1128" i="5"/>
  <c r="D1016" i="5"/>
  <c r="D968" i="5"/>
  <c r="E968" i="5"/>
  <c r="D856" i="5"/>
  <c r="D808" i="5"/>
  <c r="E808" i="5"/>
  <c r="D728" i="5"/>
  <c r="E728" i="5"/>
  <c r="D680" i="5"/>
  <c r="E680" i="5"/>
  <c r="D376" i="5"/>
  <c r="E376" i="5"/>
  <c r="D40" i="5"/>
  <c r="E40" i="5"/>
  <c r="D600" i="5"/>
  <c r="E1576" i="5"/>
  <c r="E856" i="5"/>
  <c r="D1817" i="5"/>
  <c r="D1769" i="5"/>
  <c r="E1769" i="5"/>
  <c r="D1737" i="5"/>
  <c r="E1737" i="5"/>
  <c r="D1689" i="5"/>
  <c r="E1689" i="5"/>
  <c r="D1625" i="5"/>
  <c r="D1577" i="5"/>
  <c r="D1513" i="5"/>
  <c r="D1465" i="5"/>
  <c r="D1401" i="5"/>
  <c r="D1353" i="5"/>
  <c r="D1337" i="5"/>
  <c r="E1337" i="5"/>
  <c r="D1273" i="5"/>
  <c r="D1257" i="5"/>
  <c r="E1257" i="5"/>
  <c r="D1209" i="5"/>
  <c r="E1209" i="5"/>
  <c r="D1177" i="5"/>
  <c r="E1177" i="5"/>
  <c r="D1161" i="5"/>
  <c r="E1161" i="5"/>
  <c r="D1145" i="5"/>
  <c r="E1145" i="5"/>
  <c r="D1097" i="5"/>
  <c r="E1097" i="5"/>
  <c r="D1017" i="5"/>
  <c r="D953" i="5"/>
  <c r="D873" i="5"/>
  <c r="D793" i="5"/>
  <c r="E793" i="5"/>
  <c r="D761" i="5"/>
  <c r="E761" i="5"/>
  <c r="D713" i="5"/>
  <c r="E713" i="5"/>
  <c r="D665" i="5"/>
  <c r="E665" i="5"/>
  <c r="D601" i="5"/>
  <c r="E601" i="5"/>
  <c r="D569" i="5"/>
  <c r="E569" i="5"/>
  <c r="D489" i="5"/>
  <c r="D409" i="5"/>
  <c r="D1784" i="5"/>
  <c r="E1784" i="5"/>
  <c r="D1720" i="5"/>
  <c r="D1656" i="5"/>
  <c r="E1656" i="5"/>
  <c r="D1592" i="5"/>
  <c r="D1496" i="5"/>
  <c r="D1432" i="5"/>
  <c r="D1384" i="5"/>
  <c r="D1304" i="5"/>
  <c r="D1256" i="5"/>
  <c r="E1256" i="5"/>
  <c r="D1144" i="5"/>
  <c r="D1048" i="5"/>
  <c r="D952" i="5"/>
  <c r="D904" i="5"/>
  <c r="E904" i="5"/>
  <c r="D872" i="5"/>
  <c r="E872" i="5"/>
  <c r="D824" i="5"/>
  <c r="E824" i="5"/>
  <c r="D776" i="5"/>
  <c r="E776" i="5"/>
  <c r="D712" i="5"/>
  <c r="E712" i="5"/>
  <c r="D520" i="5"/>
  <c r="E520" i="5"/>
  <c r="D120" i="5"/>
  <c r="E120" i="5"/>
  <c r="E1401" i="5"/>
  <c r="E1144" i="5"/>
  <c r="E409" i="5"/>
  <c r="D1801" i="5"/>
  <c r="D1721" i="5"/>
  <c r="D1657" i="5"/>
  <c r="D1593" i="5"/>
  <c r="D1529" i="5"/>
  <c r="D1481" i="5"/>
  <c r="E1481" i="5"/>
  <c r="D1449" i="5"/>
  <c r="E1449" i="5"/>
  <c r="D1417" i="5"/>
  <c r="E1417" i="5"/>
  <c r="D1369" i="5"/>
  <c r="D1321" i="5"/>
  <c r="E1321" i="5"/>
  <c r="D1241" i="5"/>
  <c r="D1113" i="5"/>
  <c r="D1081" i="5"/>
  <c r="E1081" i="5"/>
  <c r="D1033" i="5"/>
  <c r="E1033" i="5"/>
  <c r="D969" i="5"/>
  <c r="E969" i="5"/>
  <c r="D937" i="5"/>
  <c r="E937" i="5"/>
  <c r="D889" i="5"/>
  <c r="E889" i="5"/>
  <c r="D825" i="5"/>
  <c r="E825" i="5"/>
  <c r="D697" i="5"/>
  <c r="D649" i="5"/>
  <c r="E649" i="5"/>
  <c r="D537" i="5"/>
  <c r="D441" i="5"/>
  <c r="D361" i="5"/>
  <c r="D1800" i="5"/>
  <c r="D1752" i="5"/>
  <c r="E1752" i="5"/>
  <c r="D1672" i="5"/>
  <c r="D1624" i="5"/>
  <c r="E1624" i="5"/>
  <c r="D1528" i="5"/>
  <c r="D1448" i="5"/>
  <c r="D1368" i="5"/>
  <c r="D1320" i="5"/>
  <c r="E1320" i="5"/>
  <c r="D1288" i="5"/>
  <c r="E1288" i="5"/>
  <c r="D1240" i="5"/>
  <c r="E1240" i="5"/>
  <c r="D1192" i="5"/>
  <c r="E1192" i="5"/>
  <c r="D1096" i="5"/>
  <c r="D1080" i="5"/>
  <c r="E1080" i="5"/>
  <c r="D1032" i="5"/>
  <c r="E1032" i="5"/>
  <c r="D920" i="5"/>
  <c r="D888" i="5"/>
  <c r="E888" i="5"/>
  <c r="D792" i="5"/>
  <c r="D760" i="5"/>
  <c r="E760" i="5"/>
  <c r="E1353" i="5"/>
  <c r="E841" i="5"/>
  <c r="D1785" i="5"/>
  <c r="E1785" i="5"/>
  <c r="D1753" i="5"/>
  <c r="E1753" i="5"/>
  <c r="D1705" i="5"/>
  <c r="D1673" i="5"/>
  <c r="D1641" i="5"/>
  <c r="E1641" i="5"/>
  <c r="D1609" i="5"/>
  <c r="D1561" i="5"/>
  <c r="E1561" i="5"/>
  <c r="D1545" i="5"/>
  <c r="E1545" i="5"/>
  <c r="D1497" i="5"/>
  <c r="D1433" i="5"/>
  <c r="D1385" i="5"/>
  <c r="D1305" i="5"/>
  <c r="D1289" i="5"/>
  <c r="E1289" i="5"/>
  <c r="D1225" i="5"/>
  <c r="D1193" i="5"/>
  <c r="E1193" i="5"/>
  <c r="D1129" i="5"/>
  <c r="D1049" i="5"/>
  <c r="D985" i="5"/>
  <c r="E985" i="5"/>
  <c r="D905" i="5"/>
  <c r="D857" i="5"/>
  <c r="E857" i="5"/>
  <c r="D809" i="5"/>
  <c r="E809" i="5"/>
  <c r="D777" i="5"/>
  <c r="E777" i="5"/>
  <c r="D729" i="5"/>
  <c r="E729" i="5"/>
  <c r="D681" i="5"/>
  <c r="E681" i="5"/>
  <c r="D617" i="5"/>
  <c r="E617" i="5"/>
  <c r="D553" i="5"/>
  <c r="E553" i="5"/>
  <c r="D521" i="5"/>
  <c r="E521" i="5"/>
  <c r="D457" i="5"/>
  <c r="D425" i="5"/>
  <c r="E425" i="5"/>
  <c r="D393" i="5"/>
  <c r="E393" i="5"/>
  <c r="D1768" i="5"/>
  <c r="D1704" i="5"/>
  <c r="D1608" i="5"/>
  <c r="D1560" i="5"/>
  <c r="E1560" i="5"/>
  <c r="D1512" i="5"/>
  <c r="E1512" i="5"/>
  <c r="D1464" i="5"/>
  <c r="D1400" i="5"/>
  <c r="D1336" i="5"/>
  <c r="D1224" i="5"/>
  <c r="D1160" i="5"/>
  <c r="E1160" i="5"/>
  <c r="D1112" i="5"/>
  <c r="D1064" i="5"/>
  <c r="D1000" i="5"/>
  <c r="E1000" i="5"/>
  <c r="D984" i="5"/>
  <c r="E984" i="5"/>
  <c r="D936" i="5"/>
  <c r="E936" i="5"/>
  <c r="D840" i="5"/>
  <c r="D744" i="5"/>
  <c r="D696" i="5"/>
  <c r="E696" i="5"/>
  <c r="D456" i="5"/>
  <c r="E456" i="5"/>
  <c r="D280" i="5"/>
  <c r="E280" i="5"/>
  <c r="E1513" i="5"/>
  <c r="E1433" i="5"/>
  <c r="D1828" i="5"/>
  <c r="D1812" i="5"/>
  <c r="E1812" i="5"/>
  <c r="D1796" i="5"/>
  <c r="D1780" i="5"/>
  <c r="D1764" i="5"/>
  <c r="E1764" i="5"/>
  <c r="D1748" i="5"/>
  <c r="E1748" i="5"/>
  <c r="D1732" i="5"/>
  <c r="D1716" i="5"/>
  <c r="E1716" i="5"/>
  <c r="D1700" i="5"/>
  <c r="D1684" i="5"/>
  <c r="E1801" i="5"/>
  <c r="E1705" i="5"/>
  <c r="E1673" i="5"/>
  <c r="E1497" i="5"/>
  <c r="E1465" i="5"/>
  <c r="E1385" i="5"/>
  <c r="E1352" i="5"/>
  <c r="E1017" i="5"/>
  <c r="E905" i="5"/>
  <c r="E840" i="5"/>
  <c r="E537" i="5"/>
  <c r="D1607" i="5"/>
  <c r="D1351" i="5"/>
  <c r="E1351" i="5"/>
  <c r="D1239" i="5"/>
  <c r="E1239" i="5"/>
  <c r="D1686" i="5"/>
  <c r="D1382" i="5"/>
  <c r="D1350" i="5"/>
  <c r="E1350" i="5"/>
  <c r="D1637" i="5"/>
  <c r="D1252" i="5"/>
  <c r="D340" i="5"/>
  <c r="D1687" i="5"/>
  <c r="D1813" i="5"/>
  <c r="D1797" i="5"/>
  <c r="D1781" i="5"/>
  <c r="D1765" i="5"/>
  <c r="D1749" i="5"/>
  <c r="D1733" i="5"/>
  <c r="E1733" i="5"/>
  <c r="D1717" i="5"/>
  <c r="E1717" i="5"/>
  <c r="D1701" i="5"/>
  <c r="D1685" i="5"/>
  <c r="D1669" i="5"/>
  <c r="D1653" i="5"/>
  <c r="D1621" i="5"/>
  <c r="D1605" i="5"/>
  <c r="E1605" i="5"/>
  <c r="D1589" i="5"/>
  <c r="D1573" i="5"/>
  <c r="D1557" i="5"/>
  <c r="D1541" i="5"/>
  <c r="D1525" i="5"/>
  <c r="E1525" i="5"/>
  <c r="D1509" i="5"/>
  <c r="D1493" i="5"/>
  <c r="D1477" i="5"/>
  <c r="D1461" i="5"/>
  <c r="E1461" i="5"/>
  <c r="D1429" i="5"/>
  <c r="D1413" i="5"/>
  <c r="D1397" i="5"/>
  <c r="E1397" i="5"/>
  <c r="D1381" i="5"/>
  <c r="D1365" i="5"/>
  <c r="D1349" i="5"/>
  <c r="E1349" i="5"/>
  <c r="D1333" i="5"/>
  <c r="D1317" i="5"/>
  <c r="E1317" i="5"/>
  <c r="D1301" i="5"/>
  <c r="E1301" i="5"/>
  <c r="D1285" i="5"/>
  <c r="D1269" i="5"/>
  <c r="D1253" i="5"/>
  <c r="E1253" i="5"/>
  <c r="D1237" i="5"/>
  <c r="E1237" i="5"/>
  <c r="D1221" i="5"/>
  <c r="D1205" i="5"/>
  <c r="D1189" i="5"/>
  <c r="E1189" i="5"/>
  <c r="D1157" i="5"/>
  <c r="E1157" i="5"/>
  <c r="D1141" i="5"/>
  <c r="E1141" i="5"/>
  <c r="D1125" i="5"/>
  <c r="E1125" i="5"/>
  <c r="D1109" i="5"/>
  <c r="E1109" i="5"/>
  <c r="D1093" i="5"/>
  <c r="E1093" i="5"/>
  <c r="D1077" i="5"/>
  <c r="E1077" i="5"/>
  <c r="D1061" i="5"/>
  <c r="E1061" i="5"/>
  <c r="D1045" i="5"/>
  <c r="E1045" i="5"/>
  <c r="D1029" i="5"/>
  <c r="E1029" i="5"/>
  <c r="D1013" i="5"/>
  <c r="E1013" i="5"/>
  <c r="D997" i="5"/>
  <c r="E997" i="5"/>
  <c r="D981" i="5"/>
  <c r="E981" i="5"/>
  <c r="D965" i="5"/>
  <c r="E965" i="5"/>
  <c r="D949" i="5"/>
  <c r="E949" i="5"/>
  <c r="D933" i="5"/>
  <c r="E933" i="5"/>
  <c r="D917" i="5"/>
  <c r="E917" i="5"/>
  <c r="D1236" i="5"/>
  <c r="E1589" i="5"/>
  <c r="D1668" i="5"/>
  <c r="D1652" i="5"/>
  <c r="D1636" i="5"/>
  <c r="D1620" i="5"/>
  <c r="D1604" i="5"/>
  <c r="E1604" i="5"/>
  <c r="D1588" i="5"/>
  <c r="D1572" i="5"/>
  <c r="D1556" i="5"/>
  <c r="D1540" i="5"/>
  <c r="E1540" i="5"/>
  <c r="D1524" i="5"/>
  <c r="E1524" i="5"/>
  <c r="D1508" i="5"/>
  <c r="D1492" i="5"/>
  <c r="D1476" i="5"/>
  <c r="D1460" i="5"/>
  <c r="D1428" i="5"/>
  <c r="D1412" i="5"/>
  <c r="D1396" i="5"/>
  <c r="E1396" i="5"/>
  <c r="D1380" i="5"/>
  <c r="D1364" i="5"/>
  <c r="D1348" i="5"/>
  <c r="E1348" i="5"/>
  <c r="D1332" i="5"/>
  <c r="D1316" i="5"/>
  <c r="E1316" i="5"/>
  <c r="D1300" i="5"/>
  <c r="E1300" i="5"/>
  <c r="D1284" i="5"/>
  <c r="E1284" i="5"/>
  <c r="D1268" i="5"/>
  <c r="E1268" i="5"/>
  <c r="D1220" i="5"/>
  <c r="E1220" i="5"/>
  <c r="D1204" i="5"/>
  <c r="E1204" i="5"/>
  <c r="D1188" i="5"/>
  <c r="E1188" i="5"/>
  <c r="D1172" i="5"/>
  <c r="E1172" i="5"/>
  <c r="D1156" i="5"/>
  <c r="E1156" i="5"/>
  <c r="D1140" i="5"/>
  <c r="E1140" i="5"/>
  <c r="D1124" i="5"/>
  <c r="E1124" i="5"/>
  <c r="D1108" i="5"/>
  <c r="E1108" i="5"/>
  <c r="D1092" i="5"/>
  <c r="E1092" i="5"/>
  <c r="D1076" i="5"/>
  <c r="E1076" i="5"/>
  <c r="D1060" i="5"/>
  <c r="E1060" i="5"/>
  <c r="D1044" i="5"/>
  <c r="E1044" i="5"/>
  <c r="D1028" i="5"/>
  <c r="E1028" i="5"/>
  <c r="D1012" i="5"/>
  <c r="E1012" i="5"/>
  <c r="D996" i="5"/>
  <c r="E996" i="5"/>
  <c r="D980" i="5"/>
  <c r="E980" i="5"/>
  <c r="D964" i="5"/>
  <c r="E964" i="5"/>
  <c r="D948" i="5"/>
  <c r="E948" i="5"/>
  <c r="D932" i="5"/>
  <c r="E932" i="5"/>
  <c r="D916" i="5"/>
  <c r="E916" i="5"/>
  <c r="D900" i="5"/>
  <c r="E900" i="5"/>
  <c r="D884" i="5"/>
  <c r="E884" i="5"/>
  <c r="D868" i="5"/>
  <c r="E868" i="5"/>
  <c r="D852" i="5"/>
  <c r="E852" i="5"/>
  <c r="D836" i="5"/>
  <c r="E836" i="5"/>
  <c r="D820" i="5"/>
  <c r="E820" i="5"/>
  <c r="D804" i="5"/>
  <c r="E804" i="5"/>
  <c r="D788" i="5"/>
  <c r="E788" i="5"/>
  <c r="D772" i="5"/>
  <c r="E772" i="5"/>
  <c r="D756" i="5"/>
  <c r="E756" i="5"/>
  <c r="D740" i="5"/>
  <c r="E740" i="5"/>
  <c r="E724" i="5"/>
  <c r="D724" i="5"/>
  <c r="D708" i="5"/>
  <c r="E708" i="5"/>
  <c r="D692" i="5"/>
  <c r="E692" i="5"/>
  <c r="D676" i="5"/>
  <c r="E676" i="5"/>
  <c r="D660" i="5"/>
  <c r="E660" i="5"/>
  <c r="D644" i="5"/>
  <c r="E644" i="5"/>
  <c r="D628" i="5"/>
  <c r="E628" i="5"/>
  <c r="D612" i="5"/>
  <c r="E612" i="5"/>
  <c r="D596" i="5"/>
  <c r="E596" i="5"/>
  <c r="D580" i="5"/>
  <c r="E580" i="5"/>
  <c r="D564" i="5"/>
  <c r="E564" i="5"/>
  <c r="D548" i="5"/>
  <c r="E548" i="5"/>
  <c r="D532" i="5"/>
  <c r="E532" i="5"/>
  <c r="D516" i="5"/>
  <c r="E516" i="5"/>
  <c r="D500" i="5"/>
  <c r="E500" i="5"/>
  <c r="D484" i="5"/>
  <c r="E484" i="5"/>
  <c r="D468" i="5"/>
  <c r="E468" i="5"/>
  <c r="D452" i="5"/>
  <c r="E452" i="5"/>
  <c r="D436" i="5"/>
  <c r="E436" i="5"/>
  <c r="D420" i="5"/>
  <c r="E420" i="5"/>
  <c r="D404" i="5"/>
  <c r="E404" i="5"/>
  <c r="D388" i="5"/>
  <c r="E388" i="5"/>
  <c r="D372" i="5"/>
  <c r="E372" i="5"/>
  <c r="D356" i="5"/>
  <c r="E356" i="5"/>
  <c r="D324" i="5"/>
  <c r="E324" i="5"/>
  <c r="D308" i="5"/>
  <c r="E308" i="5"/>
  <c r="D292" i="5"/>
  <c r="E292" i="5"/>
  <c r="D276" i="5"/>
  <c r="E276" i="5"/>
  <c r="D260" i="5"/>
  <c r="E260" i="5"/>
  <c r="D244" i="5"/>
  <c r="E244" i="5"/>
  <c r="D228" i="5"/>
  <c r="E228" i="5"/>
  <c r="D212" i="5"/>
  <c r="E212" i="5"/>
  <c r="D196" i="5"/>
  <c r="E196" i="5"/>
  <c r="D148" i="5"/>
  <c r="E148" i="5"/>
  <c r="D132" i="5"/>
  <c r="E132" i="5"/>
  <c r="D116" i="5"/>
  <c r="E116" i="5"/>
  <c r="D100" i="5"/>
  <c r="E100" i="5"/>
  <c r="D84" i="5"/>
  <c r="E84" i="5"/>
  <c r="D68" i="5"/>
  <c r="E68" i="5"/>
  <c r="D52" i="5"/>
  <c r="E52" i="5"/>
  <c r="D36" i="5"/>
  <c r="E36" i="5"/>
  <c r="D20" i="5"/>
  <c r="E20" i="5"/>
  <c r="D4" i="5"/>
  <c r="E4" i="5"/>
  <c r="D1824" i="5"/>
  <c r="D1600" i="5"/>
  <c r="D1488" i="5"/>
  <c r="D1408" i="5"/>
  <c r="D1328" i="5"/>
  <c r="D1200" i="5"/>
  <c r="D1120" i="5"/>
  <c r="D720" i="5"/>
  <c r="E1687" i="5"/>
  <c r="E1588" i="5"/>
  <c r="E1509" i="5"/>
  <c r="E1477" i="5"/>
  <c r="E1202" i="5"/>
  <c r="E898" i="5"/>
  <c r="E1442" i="5"/>
  <c r="E578" i="5"/>
  <c r="E386" i="5"/>
  <c r="E18" i="5"/>
  <c r="D901" i="5"/>
  <c r="E901" i="5"/>
  <c r="D885" i="5"/>
  <c r="E885" i="5"/>
  <c r="D869" i="5"/>
  <c r="E869" i="5"/>
  <c r="D853" i="5"/>
  <c r="E853" i="5"/>
  <c r="D837" i="5"/>
  <c r="E837" i="5"/>
  <c r="D821" i="5"/>
  <c r="E821" i="5"/>
  <c r="D805" i="5"/>
  <c r="E805" i="5"/>
  <c r="D757" i="5"/>
  <c r="E757" i="5"/>
  <c r="D741" i="5"/>
  <c r="E741" i="5"/>
  <c r="D725" i="5"/>
  <c r="E725" i="5"/>
  <c r="D709" i="5"/>
  <c r="E709" i="5"/>
  <c r="D693" i="5"/>
  <c r="E693" i="5"/>
  <c r="D677" i="5"/>
  <c r="E677" i="5"/>
  <c r="D661" i="5"/>
  <c r="E661" i="5"/>
  <c r="D645" i="5"/>
  <c r="E645" i="5"/>
  <c r="D629" i="5"/>
  <c r="E629" i="5"/>
  <c r="D613" i="5"/>
  <c r="E613" i="5"/>
  <c r="D581" i="5"/>
  <c r="E581" i="5"/>
  <c r="D565" i="5"/>
  <c r="E565" i="5"/>
  <c r="D549" i="5"/>
  <c r="E549" i="5"/>
  <c r="D533" i="5"/>
  <c r="E533" i="5"/>
  <c r="D517" i="5"/>
  <c r="E517" i="5"/>
  <c r="D501" i="5"/>
  <c r="E501" i="5"/>
  <c r="D469" i="5"/>
  <c r="E469" i="5"/>
  <c r="D453" i="5"/>
  <c r="E453" i="5"/>
  <c r="D437" i="5"/>
  <c r="E437" i="5"/>
  <c r="D421" i="5"/>
  <c r="E421" i="5"/>
  <c r="D389" i="5"/>
  <c r="E389" i="5"/>
  <c r="D373" i="5"/>
  <c r="E373" i="5"/>
  <c r="D357" i="5"/>
  <c r="E357" i="5"/>
  <c r="D325" i="5"/>
  <c r="E325" i="5"/>
  <c r="D309" i="5"/>
  <c r="E309" i="5"/>
  <c r="D277" i="5"/>
  <c r="E277" i="5"/>
  <c r="D261" i="5"/>
  <c r="E261" i="5"/>
  <c r="D245" i="5"/>
  <c r="E245" i="5"/>
  <c r="D213" i="5"/>
  <c r="E213" i="5"/>
  <c r="D197" i="5"/>
  <c r="E197" i="5"/>
  <c r="D181" i="5"/>
  <c r="E181" i="5"/>
  <c r="D149" i="5"/>
  <c r="E149" i="5"/>
  <c r="D133" i="5"/>
  <c r="E133" i="5"/>
  <c r="D117" i="5"/>
  <c r="E117" i="5"/>
  <c r="D101" i="5"/>
  <c r="E101" i="5"/>
  <c r="D85" i="5"/>
  <c r="E85" i="5"/>
  <c r="D53" i="5"/>
  <c r="E53" i="5"/>
  <c r="D37" i="5"/>
  <c r="E37" i="5"/>
  <c r="D21" i="5"/>
  <c r="E21" i="5"/>
  <c r="D5" i="5"/>
  <c r="E5" i="5"/>
  <c r="D789" i="5"/>
  <c r="D405" i="5"/>
  <c r="D69" i="5"/>
  <c r="E994" i="5"/>
  <c r="E610" i="5"/>
  <c r="E242" i="5"/>
  <c r="E50" i="5"/>
  <c r="D1298" i="5"/>
  <c r="E1298" i="5"/>
  <c r="D1170" i="5"/>
  <c r="E1170" i="5"/>
  <c r="D1122" i="5"/>
  <c r="E1122" i="5"/>
  <c r="D1074" i="5"/>
  <c r="E1074" i="5"/>
  <c r="D1026" i="5"/>
  <c r="E1026" i="5"/>
  <c r="D978" i="5"/>
  <c r="E978" i="5"/>
  <c r="D914" i="5"/>
  <c r="E914" i="5"/>
  <c r="D866" i="5"/>
  <c r="E866" i="5"/>
  <c r="D818" i="5"/>
  <c r="E818" i="5"/>
  <c r="D770" i="5"/>
  <c r="E770" i="5"/>
  <c r="D722" i="5"/>
  <c r="E722" i="5"/>
  <c r="D674" i="5"/>
  <c r="E674" i="5"/>
  <c r="D594" i="5"/>
  <c r="E594" i="5"/>
  <c r="D546" i="5"/>
  <c r="E546" i="5"/>
  <c r="D466" i="5"/>
  <c r="E466" i="5"/>
  <c r="D418" i="5"/>
  <c r="E418" i="5"/>
  <c r="D338" i="5"/>
  <c r="E338" i="5"/>
  <c r="D290" i="5"/>
  <c r="E290" i="5"/>
  <c r="D210" i="5"/>
  <c r="E210" i="5"/>
  <c r="D162" i="5"/>
  <c r="E162" i="5"/>
  <c r="D82" i="5"/>
  <c r="E82" i="5"/>
  <c r="D34" i="5"/>
  <c r="E34" i="5"/>
  <c r="D1058" i="5"/>
  <c r="E1458" i="5"/>
  <c r="E754" i="5"/>
  <c r="E530" i="5"/>
  <c r="E2" i="5"/>
  <c r="D1767" i="5"/>
  <c r="D1655" i="5"/>
  <c r="D1575" i="5"/>
  <c r="D1511" i="5"/>
  <c r="D1495" i="5"/>
  <c r="D1447" i="5"/>
  <c r="D1399" i="5"/>
  <c r="D1383" i="5"/>
  <c r="D1367" i="5"/>
  <c r="D1335" i="5"/>
  <c r="D1319" i="5"/>
  <c r="D1303" i="5"/>
  <c r="D1287" i="5"/>
  <c r="D1271" i="5"/>
  <c r="D1255" i="5"/>
  <c r="D1223" i="5"/>
  <c r="D1207" i="5"/>
  <c r="D1079" i="5"/>
  <c r="D1783" i="5"/>
  <c r="D1703" i="5"/>
  <c r="D1623" i="5"/>
  <c r="D1543" i="5"/>
  <c r="D1431" i="5"/>
  <c r="D1814" i="5"/>
  <c r="D1750" i="5"/>
  <c r="D1670" i="5"/>
  <c r="D1606" i="5"/>
  <c r="D1542" i="5"/>
  <c r="D1478" i="5"/>
  <c r="D1366" i="5"/>
  <c r="D1302" i="5"/>
  <c r="D1222" i="5"/>
  <c r="D1158" i="5"/>
  <c r="D1094" i="5"/>
  <c r="D1046" i="5"/>
  <c r="D982" i="5"/>
  <c r="D934" i="5"/>
  <c r="D870" i="5"/>
  <c r="D790" i="5"/>
  <c r="D710" i="5"/>
  <c r="D678" i="5"/>
  <c r="D1799" i="5"/>
  <c r="D1719" i="5"/>
  <c r="D1591" i="5"/>
  <c r="D1479" i="5"/>
  <c r="D1798" i="5"/>
  <c r="D1734" i="5"/>
  <c r="D1622" i="5"/>
  <c r="D1558" i="5"/>
  <c r="D1510" i="5"/>
  <c r="D1430" i="5"/>
  <c r="D1318" i="5"/>
  <c r="D1254" i="5"/>
  <c r="D1190" i="5"/>
  <c r="D1126" i="5"/>
  <c r="D1062" i="5"/>
  <c r="D998" i="5"/>
  <c r="D902" i="5"/>
  <c r="D838" i="5"/>
  <c r="D774" i="5"/>
  <c r="D726" i="5"/>
  <c r="D646" i="5"/>
  <c r="D1735" i="5"/>
  <c r="D1639" i="5"/>
  <c r="D1559" i="5"/>
  <c r="D1415" i="5"/>
  <c r="D1766" i="5"/>
  <c r="D1702" i="5"/>
  <c r="D1638" i="5"/>
  <c r="D1574" i="5"/>
  <c r="D1494" i="5"/>
  <c r="D1414" i="5"/>
  <c r="D1334" i="5"/>
  <c r="D1270" i="5"/>
  <c r="D1206" i="5"/>
  <c r="D1142" i="5"/>
  <c r="D1078" i="5"/>
  <c r="D1014" i="5"/>
  <c r="D950" i="5"/>
  <c r="D886" i="5"/>
  <c r="D822" i="5"/>
  <c r="D758" i="5"/>
  <c r="D694" i="5"/>
  <c r="D1815" i="5"/>
  <c r="D1751" i="5"/>
  <c r="D1671" i="5"/>
  <c r="D1527" i="5"/>
  <c r="D1463" i="5"/>
  <c r="D1782" i="5"/>
  <c r="D1718" i="5"/>
  <c r="D1654" i="5"/>
  <c r="D1590" i="5"/>
  <c r="D1526" i="5"/>
  <c r="D1462" i="5"/>
  <c r="D1398" i="5"/>
  <c r="D1286" i="5"/>
  <c r="D1238" i="5"/>
  <c r="D1174" i="5"/>
  <c r="D1110" i="5"/>
  <c r="D1030" i="5"/>
  <c r="D966" i="5"/>
  <c r="D918" i="5"/>
  <c r="D854" i="5"/>
  <c r="D806" i="5"/>
  <c r="D742" i="5"/>
  <c r="D662" i="5"/>
  <c r="D1808" i="5"/>
  <c r="D1760" i="5"/>
  <c r="D1744" i="5"/>
  <c r="D1680" i="5"/>
  <c r="D1664" i="5"/>
  <c r="D1648" i="5"/>
  <c r="D1632" i="5"/>
  <c r="D1616" i="5"/>
  <c r="D1584" i="5"/>
  <c r="D1552" i="5"/>
  <c r="D1520" i="5"/>
  <c r="D1504" i="5"/>
  <c r="D1456" i="5"/>
  <c r="D1440" i="5"/>
  <c r="D1392" i="5"/>
  <c r="D1376" i="5"/>
  <c r="D1360" i="5"/>
  <c r="D1312" i="5"/>
  <c r="D1296" i="5"/>
  <c r="D1280" i="5"/>
  <c r="D1264" i="5"/>
  <c r="D1248" i="5"/>
  <c r="D1232" i="5"/>
  <c r="D1216" i="5"/>
  <c r="D1184" i="5"/>
  <c r="D1168" i="5"/>
  <c r="D1152" i="5"/>
  <c r="D1104" i="5"/>
  <c r="D1088" i="5"/>
  <c r="D1072" i="5"/>
  <c r="D1056" i="5"/>
  <c r="D1040" i="5"/>
  <c r="D1008" i="5"/>
  <c r="D992" i="5"/>
  <c r="D960" i="5"/>
  <c r="D928" i="5"/>
  <c r="D912" i="5"/>
  <c r="D896" i="5"/>
  <c r="D880" i="5"/>
  <c r="D864" i="5"/>
  <c r="D848" i="5"/>
  <c r="D816" i="5"/>
  <c r="D800" i="5"/>
  <c r="D784" i="5"/>
  <c r="D768" i="5"/>
  <c r="D752" i="5"/>
  <c r="D736" i="5"/>
  <c r="D704" i="5"/>
  <c r="D688" i="5"/>
  <c r="D672" i="5"/>
  <c r="D640" i="5"/>
  <c r="D608" i="5"/>
  <c r="D592" i="5"/>
  <c r="D576" i="5"/>
  <c r="D560" i="5"/>
  <c r="D544" i="5"/>
  <c r="D528" i="5"/>
  <c r="D512" i="5"/>
  <c r="D480" i="5"/>
  <c r="D464" i="5"/>
  <c r="D448" i="5"/>
  <c r="D432" i="5"/>
  <c r="D416" i="5"/>
  <c r="D400" i="5"/>
  <c r="D368" i="5"/>
  <c r="D352" i="5"/>
  <c r="D336" i="5"/>
  <c r="D304" i="5"/>
  <c r="D288" i="5"/>
  <c r="D272" i="5"/>
  <c r="D256" i="5"/>
  <c r="D240" i="5"/>
  <c r="D224" i="5"/>
  <c r="D208" i="5"/>
  <c r="D192" i="5"/>
  <c r="D176" i="5"/>
  <c r="D160" i="5"/>
  <c r="D144" i="5"/>
  <c r="D128" i="5"/>
  <c r="D112" i="5"/>
  <c r="D96" i="5"/>
  <c r="D64" i="5"/>
  <c r="D48" i="5"/>
  <c r="D32" i="5"/>
  <c r="D16" i="5"/>
  <c r="D1823" i="5"/>
  <c r="D1807" i="5"/>
  <c r="D1791" i="5"/>
  <c r="D1775" i="5"/>
  <c r="D1759" i="5"/>
  <c r="D1743" i="5"/>
  <c r="D1727" i="5"/>
  <c r="D1822" i="5"/>
  <c r="D1806" i="5"/>
  <c r="D1790" i="5"/>
  <c r="D1774" i="5"/>
  <c r="D1758" i="5"/>
  <c r="D1191" i="5"/>
  <c r="D1159" i="5"/>
  <c r="D1143" i="5"/>
  <c r="D1127" i="5"/>
  <c r="D1111" i="5"/>
  <c r="D1095" i="5"/>
  <c r="D1063" i="5"/>
  <c r="D1047" i="5"/>
  <c r="D1031" i="5"/>
  <c r="D1015" i="5"/>
  <c r="D999" i="5"/>
  <c r="D983" i="5"/>
  <c r="D967" i="5"/>
  <c r="D951" i="5"/>
  <c r="D935" i="5"/>
  <c r="D919" i="5"/>
  <c r="D903" i="5"/>
  <c r="D887" i="5"/>
  <c r="D871" i="5"/>
  <c r="D855" i="5"/>
  <c r="D839" i="5"/>
  <c r="D823" i="5"/>
  <c r="D807" i="5"/>
  <c r="D791" i="5"/>
  <c r="D775" i="5"/>
  <c r="D759" i="5"/>
  <c r="D743" i="5"/>
  <c r="D727" i="5"/>
  <c r="D711" i="5"/>
  <c r="D695" i="5"/>
  <c r="D679" i="5"/>
  <c r="D663" i="5"/>
  <c r="D647" i="5"/>
  <c r="D631" i="5"/>
  <c r="D615" i="5"/>
  <c r="D599" i="5"/>
  <c r="D583" i="5"/>
  <c r="D567" i="5"/>
  <c r="D551" i="5"/>
  <c r="D535" i="5"/>
  <c r="D519" i="5"/>
  <c r="D503" i="5"/>
  <c r="D345" i="5"/>
  <c r="D329" i="5"/>
  <c r="D313" i="5"/>
  <c r="D297" i="5"/>
  <c r="D281" i="5"/>
  <c r="D265" i="5"/>
  <c r="D249" i="5"/>
  <c r="D233" i="5"/>
  <c r="D217" i="5"/>
  <c r="D201" i="5"/>
  <c r="D185" i="5"/>
  <c r="D169" i="5"/>
  <c r="D153" i="5"/>
  <c r="D137" i="5"/>
  <c r="D121" i="5"/>
  <c r="D105" i="5"/>
  <c r="D89" i="5"/>
  <c r="D73" i="5"/>
  <c r="D57" i="5"/>
  <c r="D41" i="5"/>
  <c r="D25" i="5"/>
  <c r="D9" i="5"/>
  <c r="D664" i="5"/>
  <c r="D648" i="5"/>
  <c r="D632" i="5"/>
  <c r="D616" i="5"/>
  <c r="D584" i="5"/>
  <c r="D552" i="5"/>
  <c r="D536" i="5"/>
  <c r="D504" i="5"/>
  <c r="D488" i="5"/>
  <c r="D472" i="5"/>
  <c r="D440" i="5"/>
  <c r="D424" i="5"/>
  <c r="D360" i="5"/>
  <c r="D328" i="5"/>
  <c r="D312" i="5"/>
  <c r="D296" i="5"/>
  <c r="D248" i="5"/>
  <c r="D216" i="5"/>
  <c r="D200" i="5"/>
  <c r="D136" i="5"/>
  <c r="D104" i="5"/>
  <c r="D88" i="5"/>
  <c r="D72" i="5"/>
  <c r="D24" i="5"/>
  <c r="D8" i="5"/>
  <c r="D487" i="5"/>
  <c r="D471" i="5"/>
  <c r="D455" i="5"/>
  <c r="D439" i="5"/>
  <c r="D423" i="5"/>
  <c r="D407" i="5"/>
  <c r="D391" i="5"/>
  <c r="D375" i="5"/>
  <c r="D359" i="5"/>
  <c r="D343" i="5"/>
  <c r="D327" i="5"/>
  <c r="D311" i="5"/>
  <c r="D295" i="5"/>
  <c r="D279" i="5"/>
  <c r="D263" i="5"/>
  <c r="D247" i="5"/>
  <c r="D231" i="5"/>
  <c r="D215" i="5"/>
  <c r="D199" i="5"/>
  <c r="D183" i="5"/>
  <c r="D167" i="5"/>
  <c r="D151" i="5"/>
  <c r="D135" i="5"/>
  <c r="D119" i="5"/>
  <c r="D103" i="5"/>
  <c r="D87" i="5"/>
  <c r="D71" i="5"/>
  <c r="D55" i="5"/>
  <c r="D39" i="5"/>
  <c r="D23" i="5"/>
  <c r="D7" i="5"/>
  <c r="D630" i="5"/>
  <c r="D614" i="5"/>
  <c r="D598" i="5"/>
  <c r="D582" i="5"/>
  <c r="D566" i="5"/>
  <c r="D550" i="5"/>
  <c r="D534" i="5"/>
  <c r="D518" i="5"/>
  <c r="D502" i="5"/>
  <c r="D486" i="5"/>
  <c r="D470" i="5"/>
  <c r="D454" i="5"/>
  <c r="D438" i="5"/>
  <c r="D422" i="5"/>
  <c r="D406" i="5"/>
  <c r="D390" i="5"/>
  <c r="D374" i="5"/>
  <c r="D358" i="5"/>
  <c r="D342" i="5"/>
  <c r="D326" i="5"/>
  <c r="D310" i="5"/>
  <c r="D294" i="5"/>
  <c r="D278" i="5"/>
  <c r="D262" i="5"/>
  <c r="D246" i="5"/>
  <c r="D230" i="5"/>
  <c r="D214" i="5"/>
  <c r="D198" i="5"/>
  <c r="D182" i="5"/>
  <c r="D166" i="5"/>
  <c r="D150" i="5"/>
  <c r="D134" i="5"/>
  <c r="D118" i="5"/>
  <c r="D102" i="5"/>
  <c r="D86" i="5"/>
  <c r="D70" i="5"/>
  <c r="D54" i="5"/>
  <c r="D38" i="5"/>
  <c r="D22" i="5"/>
  <c r="D6" i="5"/>
  <c r="F13" i="1"/>
  <c r="H5" i="1"/>
  <c r="H4" i="1" s="1"/>
  <c r="H13" i="1" s="1"/>
</calcChain>
</file>

<file path=xl/sharedStrings.xml><?xml version="1.0" encoding="utf-8"?>
<sst xmlns="http://schemas.openxmlformats.org/spreadsheetml/2006/main" count="61" uniqueCount="50">
  <si>
    <t>売上</t>
    <rPh sb="0" eb="2">
      <t>ウリアゲ</t>
    </rPh>
    <phoneticPr fontId="1"/>
  </si>
  <si>
    <t>販売数</t>
    <rPh sb="0" eb="3">
      <t>ハンバイスウ</t>
    </rPh>
    <phoneticPr fontId="1"/>
  </si>
  <si>
    <t>成長率</t>
    <rPh sb="0" eb="3">
      <t>セイチョウリツ</t>
    </rPh>
    <phoneticPr fontId="1"/>
  </si>
  <si>
    <t>値段</t>
    <rPh sb="0" eb="2">
      <t>ネダン</t>
    </rPh>
    <phoneticPr fontId="1"/>
  </si>
  <si>
    <t>費用</t>
    <rPh sb="0" eb="2">
      <t>ヒヨウ</t>
    </rPh>
    <phoneticPr fontId="1"/>
  </si>
  <si>
    <t>人件費</t>
    <rPh sb="0" eb="3">
      <t>ジンケンヒ</t>
    </rPh>
    <phoneticPr fontId="1"/>
  </si>
  <si>
    <t>賃料</t>
    <rPh sb="0" eb="2">
      <t>チンリョウ</t>
    </rPh>
    <phoneticPr fontId="1"/>
  </si>
  <si>
    <t>利益</t>
    <rPh sb="0" eb="2">
      <t>リエキ</t>
    </rPh>
    <phoneticPr fontId="1"/>
  </si>
  <si>
    <t>円</t>
    <rPh sb="0" eb="1">
      <t>エン</t>
    </rPh>
    <phoneticPr fontId="1"/>
  </si>
  <si>
    <t>個</t>
    <rPh sb="0" eb="1">
      <t>コ</t>
    </rPh>
    <phoneticPr fontId="1"/>
  </si>
  <si>
    <t>%</t>
    <phoneticPr fontId="1"/>
  </si>
  <si>
    <t>従業員</t>
    <rPh sb="0" eb="3">
      <t>ジュウギョウイン</t>
    </rPh>
    <phoneticPr fontId="1"/>
  </si>
  <si>
    <t>収益計画</t>
    <rPh sb="0" eb="2">
      <t>シュウエキ</t>
    </rPh>
    <rPh sb="2" eb="4">
      <t>ケイカク</t>
    </rPh>
    <phoneticPr fontId="1"/>
  </si>
  <si>
    <r>
      <t>1</t>
    </r>
    <r>
      <rPr>
        <sz val="10"/>
        <color theme="1" tint="0.249977111117893"/>
        <rFont val="ＭＳ Ｐゴシック"/>
        <family val="2"/>
        <charset val="128"/>
      </rPr>
      <t>人あたりの人件費</t>
    </r>
    <rPh sb="0" eb="2">
      <t>ヒトリ</t>
    </rPh>
    <rPh sb="6" eb="9">
      <t>ジンケンヒ</t>
    </rPh>
    <phoneticPr fontId="1"/>
  </si>
  <si>
    <t>人</t>
    <rPh sb="0" eb="1">
      <t>ヒト</t>
    </rPh>
    <phoneticPr fontId="1"/>
  </si>
  <si>
    <r>
      <t>1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</si>
  <si>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r>
      <t>2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</si>
  <si>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r>
      <t>3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</si>
  <si>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t>No</t>
    <phoneticPr fontId="1"/>
  </si>
  <si>
    <t>氏名</t>
    <rPh sb="0" eb="2">
      <t>シメイ</t>
    </rPh>
    <phoneticPr fontId="1"/>
  </si>
  <si>
    <t>参加可否</t>
    <rPh sb="0" eb="2">
      <t>サンカ</t>
    </rPh>
    <rPh sb="2" eb="4">
      <t>カヒ</t>
    </rPh>
    <phoneticPr fontId="1"/>
  </si>
  <si>
    <t>備考</t>
    <rPh sb="0" eb="2">
      <t>ビコウ</t>
    </rPh>
    <phoneticPr fontId="1"/>
  </si>
  <si>
    <t>出席表</t>
    <rPh sb="0" eb="3">
      <t>シュッセキヒョウ</t>
    </rPh>
    <phoneticPr fontId="1"/>
  </si>
  <si>
    <t>▼入力</t>
    <rPh sb="1" eb="3">
      <t>ニュウリョク</t>
    </rPh>
    <phoneticPr fontId="1"/>
  </si>
  <si>
    <t>日付</t>
    <rPh sb="0" eb="2">
      <t>ヒヅケ</t>
    </rPh>
    <phoneticPr fontId="1"/>
  </si>
  <si>
    <t>月</t>
    <rPh sb="0" eb="1">
      <t>ツキ</t>
    </rPh>
    <phoneticPr fontId="1"/>
  </si>
  <si>
    <t>暦年</t>
    <rPh sb="0" eb="2">
      <t>レキネン</t>
    </rPh>
    <phoneticPr fontId="1"/>
  </si>
  <si>
    <t>会計年度</t>
    <rPh sb="0" eb="4">
      <t>カイケイネンド</t>
    </rPh>
    <phoneticPr fontId="1"/>
  </si>
  <si>
    <t>会計四半期</t>
    <rPh sb="0" eb="2">
      <t>カイケイ</t>
    </rPh>
    <rPh sb="2" eb="5">
      <t>シハンキ</t>
    </rPh>
    <phoneticPr fontId="1"/>
  </si>
  <si>
    <t>単位：百万円</t>
    <rPh sb="0" eb="2">
      <t>タンイ</t>
    </rPh>
    <rPh sb="3" eb="6">
      <t>ヒャクマンエン</t>
    </rPh>
    <phoneticPr fontId="1"/>
  </si>
  <si>
    <t>売上高</t>
    <rPh sb="0" eb="3">
      <t>ウリアゲダカ</t>
    </rPh>
    <phoneticPr fontId="1"/>
  </si>
  <si>
    <t>売上単価・販管費</t>
    <rPh sb="0" eb="2">
      <t>ウリアゲ</t>
    </rPh>
    <rPh sb="2" eb="4">
      <t>タンカ</t>
    </rPh>
    <rPh sb="5" eb="8">
      <t>ハンカンヒ</t>
    </rPh>
    <phoneticPr fontId="1"/>
  </si>
  <si>
    <t>営業利益</t>
    <rPh sb="0" eb="4">
      <t>エイギョウリエキ</t>
    </rPh>
    <phoneticPr fontId="1"/>
  </si>
  <si>
    <t>営業外・特別損失</t>
    <rPh sb="0" eb="3">
      <t>エイギョウガイ</t>
    </rPh>
    <rPh sb="4" eb="8">
      <t>トクベツソンシツ</t>
    </rPh>
    <phoneticPr fontId="1"/>
  </si>
  <si>
    <t>税引き前当期純利益</t>
    <rPh sb="0" eb="2">
      <t>ゼイビ</t>
    </rPh>
    <rPh sb="3" eb="4">
      <t>マエ</t>
    </rPh>
    <rPh sb="4" eb="9">
      <t>トウキジュンリエキ</t>
    </rPh>
    <phoneticPr fontId="1"/>
  </si>
  <si>
    <t>法人税等</t>
    <rPh sb="0" eb="4">
      <t>ホウジンゼイトウ</t>
    </rPh>
    <phoneticPr fontId="1"/>
  </si>
  <si>
    <t>当期純利益</t>
    <rPh sb="0" eb="5">
      <t>トウキジュンリエキ</t>
    </rPh>
    <phoneticPr fontId="1"/>
  </si>
  <si>
    <t>Income Statement</t>
    <phoneticPr fontId="1"/>
  </si>
  <si>
    <t>レストランの競合各社の比較</t>
    <rPh sb="6" eb="10">
      <t>キョウゴウカクシャ</t>
    </rPh>
    <rPh sb="11" eb="13">
      <t>ヒカク</t>
    </rPh>
    <phoneticPr fontId="1"/>
  </si>
  <si>
    <t>2012年末時点</t>
    <rPh sb="4" eb="6">
      <t>ネンマツ</t>
    </rPh>
    <rPh sb="6" eb="8">
      <t>ジテン</t>
    </rPh>
    <phoneticPr fontId="1"/>
  </si>
  <si>
    <t>KPI</t>
    <phoneticPr fontId="1"/>
  </si>
  <si>
    <t>席数</t>
    <rPh sb="0" eb="2">
      <t>セキスウ</t>
    </rPh>
    <phoneticPr fontId="1"/>
  </si>
  <si>
    <t>回転数</t>
    <rPh sb="0" eb="3">
      <t>カイテンスウ</t>
    </rPh>
    <phoneticPr fontId="1"/>
  </si>
  <si>
    <t>客単価</t>
    <rPh sb="0" eb="3">
      <t>キャクタンカ</t>
    </rPh>
    <phoneticPr fontId="1"/>
  </si>
  <si>
    <t>財務数値 (百万円)</t>
    <rPh sb="0" eb="4">
      <t>ザイムスウチ</t>
    </rPh>
    <rPh sb="6" eb="9">
      <t>ヒャクマンエン</t>
    </rPh>
    <phoneticPr fontId="1"/>
  </si>
  <si>
    <t>マージン</t>
    <phoneticPr fontId="1"/>
  </si>
  <si>
    <r>
      <t>A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</si>
  <si>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B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</si>
  <si>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C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</si>
  <si>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D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</si>
</sst>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80" formatCode="0_);[Red]\(0\)"/>
  </numFmts>
  <fonts count="14" x14ac:knownFonts="1"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0"/>
      <color theme="1" tint="0.249977111117893"/>
      <name val="ＭＳ Ｐゴシック"/>
      <family val="3"/>
      <charset val="128"/>
    </font>
    <font>
      <sz val="10"/>
      <color theme="1" tint="0.249977111117893"/>
      <name val="Arial"/>
      <family val="2"/>
    </font>
    <font>
      <sz val="10"/>
      <color theme="1" tint="0.249977111117893"/>
      <name val="ＭＳ Ｐゴシック"/>
      <family val="2"/>
      <charset val="128"/>
    </font>
    <font>
      <sz val="10"/>
      <color theme="6"/>
      <name val="Arial"/>
      <family val="2"/>
    </font>
    <font>
      <sz val="10"/>
      <color theme="1" tint="0.249977111117893"/>
      <name val="BIZ UDゴシック"/>
      <family val="3"/>
      <charset val="128"/>
    </font>
    <font>
      <sz val="10"/>
      <color theme="0" tint="-0.34998626667073579"/>
      <name val="BIZ UDゴシック"/>
      <family val="3"/>
      <charset val="128"/>
    </font>
    <font>
      <sz val="10"/>
      <name val="BIZ UDゴシック"/>
      <family val="3"/>
      <charset val="128"/>
    </font>
    <font>
      <b/>
      <sz val="10"/>
      <color theme="1" tint="0.249977111117893"/>
      <name val="ＭＳ Ｐゴシック"/>
      <family val="2"/>
      <charset val="128"/>
    </font>
    <font>
      <b/>
      <sz val="12"/>
      <color theme="1" tint="0.249977111117893"/>
      <name val="Arial"/>
      <family val="2"/>
    </font>
    <font>
      <b/>
      <sz val="12"/>
      <color theme="1" tint="0.249977111117893"/>
      <name val="ＭＳ Ｐゴシック"/>
      <family val="2"/>
      <charset val="128"/>
    </font>
    <font>
      <b/>
      <sz val="10"/>
      <color theme="1" tint="0.249977111117893"/>
      <name val="ＭＳ Ｐゴシック"/>
      <family val="3"/>
      <charset val="128"/>
    </font>
    <font>
      <b/>
      <sz val="10"/>
      <color theme="1" tint="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right" vertical="center"/>
    </xf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2"/>
    </xf>
    <xf numFmtId="0" fontId="4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176" fontId="5" fillId="2" borderId="0" xfId="0" applyNumberFormat="1" applyFont="1" applyFill="1" applyAlignment="1">
      <alignment horizontal="right" vertical="center"/>
    </xf>
    <xf numFmtId="0" fontId="3" fillId="2" borderId="3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right" vertical="center"/>
    </xf>
    <xf numFmtId="0" fontId="4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3" fillId="0" borderId="4" xfId="0" applyFont="1" applyFill="1" applyBorder="1">
      <alignment vertical="center"/>
    </xf>
    <xf numFmtId="0" fontId="4" fillId="0" borderId="4" xfId="0" applyFont="1" applyFill="1" applyBorder="1">
      <alignment vertical="center"/>
    </xf>
    <xf numFmtId="0" fontId="6" fillId="2" borderId="0" xfId="0" applyFont="1" applyFill="1">
      <alignment vertical="center"/>
    </xf>
    <xf numFmtId="0" fontId="6" fillId="2" borderId="3" xfId="0" applyFont="1" applyFill="1" applyBorder="1">
      <alignment vertical="center"/>
    </xf>
    <xf numFmtId="0" fontId="7" fillId="2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>
      <alignment vertical="center"/>
    </xf>
    <xf numFmtId="14" fontId="3" fillId="2" borderId="0" xfId="0" applyNumberFormat="1" applyFont="1" applyFill="1">
      <alignment vertical="center"/>
    </xf>
    <xf numFmtId="180" fontId="4" fillId="2" borderId="0" xfId="0" applyNumberFormat="1" applyFont="1" applyFill="1">
      <alignment vertical="center"/>
    </xf>
    <xf numFmtId="180" fontId="3" fillId="2" borderId="0" xfId="0" applyNumberFormat="1" applyFont="1" applyFill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>
      <alignment horizontal="left" vertical="center" indent="1"/>
    </xf>
    <xf numFmtId="0" fontId="4" fillId="2" borderId="6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5" xfId="0" applyFont="1" applyFill="1" applyBorder="1" applyAlignment="1">
      <alignment horizontal="right" vertical="center"/>
    </xf>
    <xf numFmtId="0" fontId="10" fillId="2" borderId="3" xfId="0" applyFont="1" applyFill="1" applyBorder="1">
      <alignment vertical="center"/>
    </xf>
    <xf numFmtId="0" fontId="11" fillId="2" borderId="3" xfId="0" applyFont="1" applyFill="1" applyBorder="1">
      <alignment vertical="center"/>
    </xf>
    <xf numFmtId="0" fontId="4" fillId="2" borderId="5" xfId="0" applyFont="1" applyFill="1" applyBorder="1" applyAlignment="1">
      <alignment horizontal="left" vertical="center"/>
    </xf>
    <xf numFmtId="0" fontId="12" fillId="2" borderId="5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left" vertical="center" indent="1"/>
    </xf>
    <xf numFmtId="38" fontId="3" fillId="2" borderId="5" xfId="0" applyNumberFormat="1" applyFont="1" applyFill="1" applyBorder="1" applyAlignment="1">
      <alignment horizontal="right" vertical="center"/>
    </xf>
    <xf numFmtId="38" fontId="3" fillId="2" borderId="6" xfId="0" applyNumberFormat="1" applyFont="1" applyFill="1" applyBorder="1" applyAlignment="1">
      <alignment horizontal="right" vertical="center"/>
    </xf>
    <xf numFmtId="38" fontId="5" fillId="2" borderId="5" xfId="0" applyNumberFormat="1" applyFont="1" applyFill="1" applyBorder="1" applyAlignment="1">
      <alignment horizontal="right" vertical="center"/>
    </xf>
    <xf numFmtId="38" fontId="5" fillId="2" borderId="6" xfId="0" applyNumberFormat="1" applyFont="1" applyFill="1" applyBorder="1" applyAlignment="1">
      <alignment horizontal="right" vertical="center"/>
    </xf>
    <xf numFmtId="16" fontId="13" fillId="2" borderId="0" xfId="0" applyNumberFormat="1" applyFont="1" applyFill="1" applyAlignment="1">
      <alignment horizontal="right" vertical="center"/>
    </xf>
    <xf numFmtId="0" fontId="9" fillId="2" borderId="0" xfId="0" applyFont="1" applyFill="1">
      <alignment vertical="center"/>
    </xf>
  </cellXfs>
  <cellStyles count="1">
    <cellStyle name="標準" xfId="0" builtinId="0"/>
  </cellStyles>
  <dxfs count="1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180" formatCode="0_);[Red]\(0\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19" formatCode="yyyy/m/d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ＭＳ Ｐゴシック"/>
        <family val="2"/>
        <charset val="128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609758-FE90-464E-92A3-2AB1B3105EBB}" name="W_カレンダー" displayName="W_カレンダー" ref="A1:E1828" totalsRowShown="0" headerRowDxfId="10" dataDxfId="11">
  <autoFilter ref="A1:E1828" xr:uid="{7F609758-FE90-464E-92A3-2AB1B3105EBB}"/>
  <tableColumns count="5">
    <tableColumn id="1" xr3:uid="{41ED9F34-DDFE-4B43-A93B-11D24CBCE9E0}" name="日付" dataDxfId="9"/>
    <tableColumn id="2" xr3:uid="{C4FBBAA6-4574-46F9-B0C9-42409E7BB575}" name="月" dataDxfId="8">
      <calculatedColumnFormula>MONTH(W_カレンダー[[#This Row],[日付]])</calculatedColumnFormula>
    </tableColumn>
    <tableColumn id="3" xr3:uid="{F6FEA4DB-5646-47A8-86D3-EE0831973B03}" name="暦年" dataDxfId="7">
      <calculatedColumnFormula>YEAR(W_カレンダー[[#This Row],[日付]])</calculatedColumnFormula>
    </tableColumn>
    <tableColumn id="4" xr3:uid="{0115DC4E-6C58-480D-92F8-7666333331B7}" name="会計年度" dataDxfId="6">
      <calculatedColumnFormula>IF(W_カレンダー[[#This Row],[月]]&lt;=3,W_カレンダー[[#This Row],[暦年]]-1,W_カレンダー[[#This Row],[暦年]])</calculatedColumnFormula>
    </tableColumn>
    <tableColumn id="5" xr3:uid="{98A8EE59-BFEA-479B-9999-5EE1E44CD69F}" name="会計四半期" dataDxfId="5">
      <calculatedColumnFormula>IF(W_カレンダー[[#This Row],[月]]&lt;=3,"Q4",IF(W_カレンダー[[#This Row],[月]]&lt;=6,"Q1",IF(W_カレンダー[[#This Row],[月]]&lt;=9,"Q2","Q3")))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青ベース">
      <a:dk1>
        <a:sysClr val="windowText" lastClr="000000"/>
      </a:dk1>
      <a:lt1>
        <a:sysClr val="window" lastClr="FFFFFF"/>
      </a:lt1>
      <a:dk2>
        <a:srgbClr val="646464"/>
      </a:dk2>
      <a:lt2>
        <a:srgbClr val="DCDCDC"/>
      </a:lt2>
      <a:accent1>
        <a:srgbClr val="009600"/>
      </a:accent1>
      <a:accent2>
        <a:srgbClr val="0096C8"/>
      </a:accent2>
      <a:accent3>
        <a:srgbClr val="0000FF"/>
      </a:accent3>
      <a:accent4>
        <a:srgbClr val="C80000"/>
      </a:accent4>
      <a:accent5>
        <a:srgbClr val="FF9600"/>
      </a:accent5>
      <a:accent6>
        <a:srgbClr val="FFFF00"/>
      </a:accent6>
      <a:hlink>
        <a:srgbClr val="59A9F2"/>
      </a:hlink>
      <a:folHlink>
        <a:srgbClr val="464646"/>
      </a:folHlink>
    </a:clrScheme>
    <a:fontScheme name="Arial-MeiryoUI">
      <a:majorFont>
        <a:latin typeface="Arial"/>
        <a:ea typeface="Meiryo UI"/>
        <a:cs typeface=""/>
      </a:majorFont>
      <a:minorFont>
        <a:latin typeface="Arial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8C65-852C-4F4D-89FA-063D4FC1F009}">
  <sheetPr codeName="Sheet1"/>
  <dimension ref="B1:H13"/>
  <sheetViews>
    <sheetView tabSelected="1" zoomScaleNormal="100" workbookViewId="0"/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4.69921875" style="1" bestFit="1" customWidth="1"/>
    <col min="5" max="5" width="3.19921875" style="1" bestFit="1" customWidth="1"/>
    <col min="6" max="6" width="10.69921875" style="1" bestFit="1" customWidth="1"/>
    <col min="7" max="8" width="12.5" style="1" bestFit="1" customWidth="1"/>
    <col min="9" max="9" width="2.19921875" style="1" customWidth="1"/>
    <col min="10" max="16384" width="8.796875" style="1"/>
  </cols>
  <sheetData>
    <row r="1" spans="2:8" ht="18" customHeight="1" thickBot="1" x14ac:dyDescent="0.3"/>
    <row r="2" spans="2:8" ht="18" customHeight="1" x14ac:dyDescent="0.25">
      <c r="B2" s="12" t="s">
        <v>12</v>
      </c>
      <c r="C2" s="11"/>
      <c r="D2" s="11"/>
      <c r="E2" s="11"/>
      <c r="F2" s="11"/>
      <c r="G2" s="11"/>
      <c r="H2" s="11"/>
    </row>
    <row r="3" spans="2:8" ht="18" customHeight="1" x14ac:dyDescent="0.25">
      <c r="F3" s="2" t="s">
        <v>15</v>
      </c>
      <c r="G3" s="2" t="s">
        <v>16</v>
      </c>
      <c r="H3" s="2" t="s">
        <v>17</v>
      </c>
    </row>
    <row r="4" spans="2:8" ht="18" customHeight="1" x14ac:dyDescent="0.25">
      <c r="B4" s="8" t="s">
        <v>0</v>
      </c>
      <c r="E4" s="9" t="s">
        <v>8</v>
      </c>
      <c r="F4" s="4">
        <f>F5*F7</f>
        <v>800000</v>
      </c>
      <c r="G4" s="4">
        <f t="shared" ref="G4:H4" si="0">G5*G7</f>
        <v>1040000</v>
      </c>
      <c r="H4" s="4">
        <f t="shared" si="0"/>
        <v>1352000</v>
      </c>
    </row>
    <row r="5" spans="2:8" ht="18" customHeight="1" x14ac:dyDescent="0.25">
      <c r="B5" s="5"/>
      <c r="C5" s="7" t="s">
        <v>1</v>
      </c>
      <c r="E5" s="9" t="s">
        <v>9</v>
      </c>
      <c r="F5" s="10">
        <v>1000</v>
      </c>
      <c r="G5" s="4">
        <f>F5*(1+G6)</f>
        <v>1300</v>
      </c>
      <c r="H5" s="4">
        <f>G5*(1+H6)</f>
        <v>1690</v>
      </c>
    </row>
    <row r="6" spans="2:8" ht="18" customHeight="1" x14ac:dyDescent="0.25">
      <c r="B6" s="6"/>
      <c r="D6" s="8" t="s">
        <v>2</v>
      </c>
      <c r="E6" s="3" t="s">
        <v>10</v>
      </c>
      <c r="F6" s="10" t="e">
        <f>NA()</f>
        <v>#N/A</v>
      </c>
      <c r="G6" s="10">
        <v>0.3</v>
      </c>
      <c r="H6" s="10">
        <v>0.3</v>
      </c>
    </row>
    <row r="7" spans="2:8" ht="18" customHeight="1" x14ac:dyDescent="0.25">
      <c r="B7" s="5"/>
      <c r="C7" s="8" t="s">
        <v>3</v>
      </c>
      <c r="E7" s="9" t="s">
        <v>8</v>
      </c>
      <c r="F7" s="10">
        <v>800</v>
      </c>
      <c r="G7" s="10">
        <v>800</v>
      </c>
      <c r="H7" s="10">
        <v>800</v>
      </c>
    </row>
    <row r="8" spans="2:8" ht="18" customHeight="1" x14ac:dyDescent="0.25">
      <c r="B8" s="8" t="s">
        <v>4</v>
      </c>
      <c r="E8" s="9" t="s">
        <v>8</v>
      </c>
      <c r="F8" s="4">
        <f>F9+F12</f>
        <v>300000</v>
      </c>
      <c r="G8" s="4">
        <f t="shared" ref="G8:H8" si="1">G9+G12</f>
        <v>500000</v>
      </c>
      <c r="H8" s="4">
        <f t="shared" si="1"/>
        <v>700000</v>
      </c>
    </row>
    <row r="9" spans="2:8" ht="18" customHeight="1" x14ac:dyDescent="0.25">
      <c r="B9" s="5"/>
      <c r="C9" s="8" t="s">
        <v>5</v>
      </c>
      <c r="E9" s="9" t="s">
        <v>8</v>
      </c>
      <c r="F9" s="4">
        <f>F11*F10</f>
        <v>200000</v>
      </c>
      <c r="G9" s="4">
        <f t="shared" ref="G9" si="2">G11*G10</f>
        <v>400000</v>
      </c>
      <c r="H9" s="4">
        <v>600000</v>
      </c>
    </row>
    <row r="10" spans="2:8" ht="18" customHeight="1" x14ac:dyDescent="0.25">
      <c r="B10" s="6"/>
      <c r="D10" s="8" t="s">
        <v>11</v>
      </c>
      <c r="E10" s="9" t="s">
        <v>14</v>
      </c>
      <c r="F10" s="10">
        <v>1</v>
      </c>
      <c r="G10" s="10">
        <v>2</v>
      </c>
      <c r="H10" s="10">
        <v>2</v>
      </c>
    </row>
    <row r="11" spans="2:8" ht="18" customHeight="1" x14ac:dyDescent="0.25">
      <c r="B11" s="6"/>
      <c r="D11" s="1" t="s">
        <v>13</v>
      </c>
      <c r="E11" s="9" t="s">
        <v>8</v>
      </c>
      <c r="F11" s="10">
        <v>200000</v>
      </c>
      <c r="G11" s="10">
        <v>200000</v>
      </c>
      <c r="H11" s="10">
        <v>200000</v>
      </c>
    </row>
    <row r="12" spans="2:8" ht="18" customHeight="1" x14ac:dyDescent="0.25">
      <c r="B12" s="5"/>
      <c r="C12" s="8" t="s">
        <v>6</v>
      </c>
      <c r="E12" s="9" t="s">
        <v>8</v>
      </c>
      <c r="F12" s="10">
        <v>100000</v>
      </c>
      <c r="G12" s="10">
        <v>100000</v>
      </c>
      <c r="H12" s="10">
        <v>100000</v>
      </c>
    </row>
    <row r="13" spans="2:8" ht="18" customHeight="1" thickBot="1" x14ac:dyDescent="0.3">
      <c r="B13" s="13" t="s">
        <v>7</v>
      </c>
      <c r="C13" s="14"/>
      <c r="D13" s="14"/>
      <c r="E13" s="15" t="s">
        <v>8</v>
      </c>
      <c r="F13" s="16">
        <f>F4-F8</f>
        <v>500000</v>
      </c>
      <c r="G13" s="16">
        <f t="shared" ref="G13" si="3">G4-G8</f>
        <v>540000</v>
      </c>
      <c r="H13" s="16">
        <f>H4-H8</f>
        <v>652000</v>
      </c>
    </row>
  </sheetData>
  <phoneticPr fontId="1"/>
  <conditionalFormatting sqref="B4:H13">
    <cfRule type="expression" dxfId="4" priority="1">
      <formula>$B4&lt;&gt;""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1B375-9EFE-49F7-86F7-984263CF3467}">
  <dimension ref="D1:I11"/>
  <sheetViews>
    <sheetView zoomScaleNormal="100" workbookViewId="0"/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7" style="1" bestFit="1" customWidth="1"/>
    <col min="5" max="16384" width="8.796875" style="1"/>
  </cols>
  <sheetData>
    <row r="1" spans="4:9" ht="18" customHeight="1" thickBot="1" x14ac:dyDescent="0.3"/>
    <row r="2" spans="4:9" ht="18" customHeight="1" x14ac:dyDescent="0.25">
      <c r="D2" s="35" t="s">
        <v>37</v>
      </c>
      <c r="E2" s="11"/>
      <c r="F2" s="11"/>
      <c r="G2" s="11"/>
      <c r="H2" s="11"/>
      <c r="I2" s="11"/>
    </row>
    <row r="3" spans="4:9" ht="18" customHeight="1" x14ac:dyDescent="0.25">
      <c r="D3" s="47" t="s">
        <v>29</v>
      </c>
    </row>
    <row r="4" spans="4:9" ht="18" customHeight="1" x14ac:dyDescent="0.25">
      <c r="E4" s="46">
        <v>45728</v>
      </c>
      <c r="F4" s="46">
        <v>45729</v>
      </c>
      <c r="G4" s="46">
        <v>45730</v>
      </c>
      <c r="H4" s="46">
        <v>45731</v>
      </c>
      <c r="I4" s="46">
        <v>45732</v>
      </c>
    </row>
    <row r="5" spans="4:9" ht="18" customHeight="1" x14ac:dyDescent="0.25">
      <c r="D5" s="30" t="s">
        <v>30</v>
      </c>
      <c r="E5" s="44">
        <v>1000</v>
      </c>
      <c r="F5" s="42">
        <f>E5*2</f>
        <v>2000</v>
      </c>
      <c r="G5" s="42">
        <f t="shared" ref="G5:I5" si="0">F5*2</f>
        <v>4000</v>
      </c>
      <c r="H5" s="42">
        <f t="shared" si="0"/>
        <v>8000</v>
      </c>
      <c r="I5" s="42">
        <f t="shared" si="0"/>
        <v>16000</v>
      </c>
    </row>
    <row r="6" spans="4:9" ht="18" customHeight="1" x14ac:dyDescent="0.25">
      <c r="D6" s="31" t="s">
        <v>31</v>
      </c>
      <c r="E6" s="44">
        <v>-103</v>
      </c>
      <c r="F6" s="42">
        <f>E6*1.5</f>
        <v>-154.5</v>
      </c>
      <c r="G6" s="42">
        <f t="shared" ref="G6:I6" si="1">F6*1.5</f>
        <v>-231.75</v>
      </c>
      <c r="H6" s="42">
        <f t="shared" si="1"/>
        <v>-347.625</v>
      </c>
      <c r="I6" s="42">
        <f t="shared" si="1"/>
        <v>-521.4375</v>
      </c>
    </row>
    <row r="7" spans="4:9" ht="18" customHeight="1" x14ac:dyDescent="0.25">
      <c r="D7" s="30" t="s">
        <v>32</v>
      </c>
      <c r="E7" s="44">
        <v>500</v>
      </c>
      <c r="F7" s="42">
        <f>E7*1.2</f>
        <v>600</v>
      </c>
      <c r="G7" s="42">
        <f t="shared" ref="G7:I7" si="2">F7*1.2</f>
        <v>720</v>
      </c>
      <c r="H7" s="42">
        <f t="shared" si="2"/>
        <v>864</v>
      </c>
      <c r="I7" s="42">
        <f t="shared" si="2"/>
        <v>1036.8</v>
      </c>
    </row>
    <row r="8" spans="4:9" ht="18" customHeight="1" x14ac:dyDescent="0.25">
      <c r="D8" s="31" t="s">
        <v>33</v>
      </c>
      <c r="E8" s="44">
        <v>10</v>
      </c>
      <c r="F8" s="42">
        <f>E8*1.4</f>
        <v>14</v>
      </c>
      <c r="G8" s="42">
        <f t="shared" ref="G8:I8" si="3">F8*1.4</f>
        <v>19.599999999999998</v>
      </c>
      <c r="H8" s="42">
        <f t="shared" si="3"/>
        <v>27.439999999999994</v>
      </c>
      <c r="I8" s="42">
        <f t="shared" si="3"/>
        <v>38.41599999999999</v>
      </c>
    </row>
    <row r="9" spans="4:9" ht="18" customHeight="1" x14ac:dyDescent="0.25">
      <c r="D9" s="30" t="s">
        <v>34</v>
      </c>
      <c r="E9" s="44">
        <v>100</v>
      </c>
      <c r="F9" s="42">
        <f>E9*5</f>
        <v>500</v>
      </c>
      <c r="G9" s="42">
        <f t="shared" ref="G9:I9" si="4">F9*5</f>
        <v>2500</v>
      </c>
      <c r="H9" s="42">
        <f t="shared" si="4"/>
        <v>12500</v>
      </c>
      <c r="I9" s="42">
        <f t="shared" si="4"/>
        <v>62500</v>
      </c>
    </row>
    <row r="10" spans="4:9" ht="18" customHeight="1" x14ac:dyDescent="0.25">
      <c r="D10" s="31" t="s">
        <v>35</v>
      </c>
      <c r="E10" s="44">
        <v>10</v>
      </c>
      <c r="F10" s="42">
        <f>E10*1.1</f>
        <v>11</v>
      </c>
      <c r="G10" s="42">
        <f t="shared" ref="G10:I10" si="5">F10*1.1</f>
        <v>12.100000000000001</v>
      </c>
      <c r="H10" s="42">
        <f t="shared" si="5"/>
        <v>13.310000000000002</v>
      </c>
      <c r="I10" s="42">
        <f t="shared" si="5"/>
        <v>14.641000000000004</v>
      </c>
    </row>
    <row r="11" spans="4:9" ht="18" customHeight="1" thickBot="1" x14ac:dyDescent="0.3">
      <c r="D11" s="32" t="s">
        <v>36</v>
      </c>
      <c r="E11" s="45">
        <v>120</v>
      </c>
      <c r="F11" s="43">
        <f>E11+10</f>
        <v>130</v>
      </c>
      <c r="G11" s="43">
        <f t="shared" ref="G11:I11" si="6">F11+10</f>
        <v>140</v>
      </c>
      <c r="H11" s="43">
        <f t="shared" si="6"/>
        <v>150</v>
      </c>
      <c r="I11" s="43">
        <f t="shared" si="6"/>
        <v>160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49AC-4D56-402E-B62E-00075E3DA9C4}">
  <dimension ref="D1:H16"/>
  <sheetViews>
    <sheetView zoomScaleNormal="100" workbookViewId="0">
      <selection activeCell="D3" sqref="D3"/>
    </sheetView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7" style="1" bestFit="1" customWidth="1"/>
    <col min="5" max="16384" width="8.796875" style="1"/>
  </cols>
  <sheetData>
    <row r="1" spans="4:8" ht="18" customHeight="1" thickBot="1" x14ac:dyDescent="0.3"/>
    <row r="2" spans="4:8" ht="18" customHeight="1" x14ac:dyDescent="0.25">
      <c r="D2" s="36" t="s">
        <v>38</v>
      </c>
      <c r="E2" s="11"/>
      <c r="F2" s="11"/>
      <c r="G2" s="11"/>
      <c r="H2" s="11"/>
    </row>
    <row r="3" spans="4:8" ht="18" customHeight="1" x14ac:dyDescent="0.25">
      <c r="D3" s="47" t="s">
        <v>39</v>
      </c>
    </row>
    <row r="4" spans="4:8" ht="18" customHeight="1" x14ac:dyDescent="0.25">
      <c r="E4" s="46" t="s">
        <v>46</v>
      </c>
      <c r="F4" s="46" t="s">
        <v>47</v>
      </c>
      <c r="G4" s="46" t="s">
        <v>48</v>
      </c>
      <c r="H4" s="46" t="s">
        <v>49</v>
      </c>
    </row>
    <row r="5" spans="4:8" ht="18" customHeight="1" x14ac:dyDescent="0.25">
      <c r="D5" s="38" t="s">
        <v>40</v>
      </c>
      <c r="E5" s="34"/>
      <c r="F5" s="34"/>
      <c r="G5" s="34"/>
      <c r="H5" s="34"/>
    </row>
    <row r="6" spans="4:8" ht="18" customHeight="1" x14ac:dyDescent="0.25">
      <c r="D6" s="37" t="s">
        <v>41</v>
      </c>
      <c r="E6" s="34"/>
      <c r="F6" s="34"/>
      <c r="G6" s="34"/>
      <c r="H6" s="34"/>
    </row>
    <row r="7" spans="4:8" ht="18" customHeight="1" x14ac:dyDescent="0.25">
      <c r="D7" s="37" t="s">
        <v>42</v>
      </c>
      <c r="E7" s="34"/>
      <c r="F7" s="34"/>
      <c r="G7" s="34"/>
      <c r="H7" s="34"/>
    </row>
    <row r="8" spans="4:8" ht="18" customHeight="1" x14ac:dyDescent="0.25">
      <c r="D8" s="39" t="s">
        <v>43</v>
      </c>
      <c r="E8" s="40"/>
      <c r="F8" s="40"/>
      <c r="G8" s="40"/>
      <c r="H8" s="40"/>
    </row>
    <row r="10" spans="4:8" ht="18" customHeight="1" x14ac:dyDescent="0.25">
      <c r="D10" s="38" t="s">
        <v>44</v>
      </c>
      <c r="E10" s="34"/>
      <c r="F10" s="34"/>
      <c r="G10" s="34"/>
      <c r="H10" s="34"/>
    </row>
    <row r="11" spans="4:8" ht="18" customHeight="1" x14ac:dyDescent="0.25">
      <c r="D11" s="37" t="s">
        <v>0</v>
      </c>
      <c r="E11" s="34"/>
      <c r="F11" s="34"/>
      <c r="G11" s="34"/>
      <c r="H11" s="34"/>
    </row>
    <row r="12" spans="4:8" ht="18" customHeight="1" x14ac:dyDescent="0.25">
      <c r="D12" s="37" t="s">
        <v>32</v>
      </c>
      <c r="E12" s="34"/>
      <c r="F12" s="34"/>
      <c r="G12" s="34"/>
      <c r="H12" s="34"/>
    </row>
    <row r="13" spans="4:8" ht="18" customHeight="1" x14ac:dyDescent="0.25">
      <c r="D13" s="41" t="s">
        <v>45</v>
      </c>
      <c r="E13" s="40"/>
      <c r="F13" s="40"/>
      <c r="G13" s="40"/>
      <c r="H13" s="40"/>
    </row>
    <row r="14" spans="4:8" ht="18" customHeight="1" x14ac:dyDescent="0.25">
      <c r="D14" s="37" t="s">
        <v>36</v>
      </c>
      <c r="E14" s="40"/>
      <c r="F14" s="40"/>
      <c r="G14" s="40"/>
      <c r="H14" s="40"/>
    </row>
    <row r="15" spans="4:8" ht="18" customHeight="1" x14ac:dyDescent="0.25">
      <c r="D15" s="41" t="s">
        <v>45</v>
      </c>
      <c r="E15" s="40"/>
      <c r="F15" s="40"/>
      <c r="G15" s="40"/>
      <c r="H15" s="40"/>
    </row>
    <row r="16" spans="4:8" ht="18" customHeight="1" thickBot="1" x14ac:dyDescent="0.3">
      <c r="D16" s="33"/>
      <c r="E16" s="33"/>
      <c r="F16" s="33"/>
      <c r="G16" s="33"/>
      <c r="H16" s="3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B4CBE-E9B9-412A-80AA-3803B16629A3}">
  <dimension ref="D1:G107"/>
  <sheetViews>
    <sheetView zoomScaleNormal="100" workbookViewId="0"/>
  </sheetViews>
  <sheetFormatPr defaultRowHeight="18" customHeight="1" x14ac:dyDescent="0.25"/>
  <cols>
    <col min="1" max="1" width="2.19921875" style="21" customWidth="1"/>
    <col min="2" max="3" width="1.69921875" style="21" customWidth="1"/>
    <col min="4" max="16384" width="8.796875" style="21"/>
  </cols>
  <sheetData>
    <row r="1" spans="4:7" ht="18" customHeight="1" thickBot="1" x14ac:dyDescent="0.3"/>
    <row r="2" spans="4:7" ht="18" customHeight="1" x14ac:dyDescent="0.25">
      <c r="D2" s="22" t="s">
        <v>22</v>
      </c>
      <c r="E2" s="22"/>
      <c r="F2" s="22"/>
      <c r="G2" s="22"/>
    </row>
    <row r="4" spans="4:7" ht="18" customHeight="1" x14ac:dyDescent="0.25">
      <c r="E4" s="23" t="s">
        <v>23</v>
      </c>
      <c r="F4" s="23" t="s">
        <v>23</v>
      </c>
    </row>
    <row r="5" spans="4:7" ht="18" customHeight="1" x14ac:dyDescent="0.25">
      <c r="D5" s="24" t="s">
        <v>18</v>
      </c>
      <c r="E5" s="24" t="s">
        <v>19</v>
      </c>
      <c r="F5" s="24" t="s">
        <v>20</v>
      </c>
      <c r="G5" s="24" t="s">
        <v>21</v>
      </c>
    </row>
    <row r="6" spans="4:7" ht="18" customHeight="1" x14ac:dyDescent="0.25">
      <c r="D6" s="25">
        <v>1</v>
      </c>
      <c r="E6" s="25"/>
      <c r="F6" s="25"/>
      <c r="G6" s="25"/>
    </row>
    <row r="7" spans="4:7" ht="18" customHeight="1" x14ac:dyDescent="0.25">
      <c r="D7" s="25">
        <v>2</v>
      </c>
      <c r="E7" s="25"/>
      <c r="F7" s="25"/>
      <c r="G7" s="25"/>
    </row>
    <row r="8" spans="4:7" ht="18" customHeight="1" x14ac:dyDescent="0.25">
      <c r="D8" s="25">
        <v>3</v>
      </c>
      <c r="E8" s="25"/>
      <c r="F8" s="25"/>
      <c r="G8" s="25"/>
    </row>
    <row r="9" spans="4:7" ht="18" customHeight="1" x14ac:dyDescent="0.25">
      <c r="D9" s="25">
        <v>4</v>
      </c>
      <c r="E9" s="25"/>
      <c r="F9" s="25"/>
      <c r="G9" s="25"/>
    </row>
    <row r="10" spans="4:7" ht="18" customHeight="1" x14ac:dyDescent="0.25">
      <c r="D10" s="25">
        <v>5</v>
      </c>
      <c r="E10" s="25"/>
      <c r="F10" s="25"/>
      <c r="G10" s="25"/>
    </row>
    <row r="11" spans="4:7" ht="18" customHeight="1" x14ac:dyDescent="0.25">
      <c r="D11" s="25">
        <v>6</v>
      </c>
      <c r="E11" s="25"/>
      <c r="F11" s="25"/>
      <c r="G11" s="25"/>
    </row>
    <row r="12" spans="4:7" ht="18" customHeight="1" x14ac:dyDescent="0.25">
      <c r="D12" s="25">
        <v>7</v>
      </c>
      <c r="E12" s="25"/>
      <c r="F12" s="25"/>
      <c r="G12" s="25"/>
    </row>
    <row r="13" spans="4:7" ht="18" customHeight="1" x14ac:dyDescent="0.25">
      <c r="D13" s="25">
        <v>8</v>
      </c>
      <c r="E13" s="25"/>
      <c r="F13" s="25"/>
      <c r="G13" s="25"/>
    </row>
    <row r="14" spans="4:7" ht="18" customHeight="1" x14ac:dyDescent="0.25">
      <c r="D14" s="25">
        <v>9</v>
      </c>
      <c r="E14" s="25"/>
      <c r="F14" s="25"/>
      <c r="G14" s="25"/>
    </row>
    <row r="15" spans="4:7" ht="18" customHeight="1" x14ac:dyDescent="0.25">
      <c r="D15" s="25">
        <v>10</v>
      </c>
      <c r="E15" s="25"/>
      <c r="F15" s="25"/>
      <c r="G15" s="25"/>
    </row>
    <row r="16" spans="4:7" ht="18" customHeight="1" x14ac:dyDescent="0.25">
      <c r="D16" s="25">
        <v>11</v>
      </c>
      <c r="E16" s="25"/>
      <c r="F16" s="25"/>
      <c r="G16" s="25"/>
    </row>
    <row r="17" spans="4:7" ht="18" customHeight="1" x14ac:dyDescent="0.25">
      <c r="D17" s="25">
        <v>12</v>
      </c>
      <c r="E17" s="25"/>
      <c r="F17" s="25"/>
      <c r="G17" s="25"/>
    </row>
    <row r="18" spans="4:7" ht="18" customHeight="1" x14ac:dyDescent="0.25">
      <c r="D18" s="25">
        <v>13</v>
      </c>
      <c r="E18" s="25"/>
      <c r="F18" s="25"/>
      <c r="G18" s="25"/>
    </row>
    <row r="19" spans="4:7" ht="18" customHeight="1" x14ac:dyDescent="0.25">
      <c r="D19" s="25">
        <v>14</v>
      </c>
      <c r="E19" s="25"/>
      <c r="F19" s="25"/>
      <c r="G19" s="25"/>
    </row>
    <row r="20" spans="4:7" ht="18" customHeight="1" x14ac:dyDescent="0.25">
      <c r="D20" s="25">
        <v>15</v>
      </c>
      <c r="E20" s="25"/>
      <c r="F20" s="25"/>
      <c r="G20" s="25"/>
    </row>
    <row r="21" spans="4:7" ht="18" customHeight="1" x14ac:dyDescent="0.25">
      <c r="D21" s="25">
        <v>16</v>
      </c>
      <c r="E21" s="25"/>
      <c r="F21" s="25"/>
      <c r="G21" s="25"/>
    </row>
    <row r="22" spans="4:7" ht="18" customHeight="1" x14ac:dyDescent="0.25">
      <c r="D22" s="25">
        <v>17</v>
      </c>
      <c r="E22" s="25"/>
      <c r="F22" s="25"/>
      <c r="G22" s="25"/>
    </row>
    <row r="23" spans="4:7" ht="18" customHeight="1" x14ac:dyDescent="0.25">
      <c r="D23" s="25">
        <v>18</v>
      </c>
      <c r="E23" s="25"/>
      <c r="F23" s="25"/>
      <c r="G23" s="25"/>
    </row>
    <row r="24" spans="4:7" ht="18" customHeight="1" x14ac:dyDescent="0.25">
      <c r="D24" s="25">
        <v>19</v>
      </c>
      <c r="E24" s="25"/>
      <c r="F24" s="25"/>
      <c r="G24" s="25"/>
    </row>
    <row r="25" spans="4:7" ht="18" customHeight="1" x14ac:dyDescent="0.25">
      <c r="D25" s="25">
        <v>20</v>
      </c>
      <c r="E25" s="25"/>
      <c r="F25" s="25"/>
      <c r="G25" s="25"/>
    </row>
    <row r="26" spans="4:7" ht="18" customHeight="1" x14ac:dyDescent="0.25">
      <c r="D26" s="25">
        <v>21</v>
      </c>
      <c r="E26" s="25"/>
      <c r="F26" s="25"/>
      <c r="G26" s="25"/>
    </row>
    <row r="27" spans="4:7" ht="18" customHeight="1" x14ac:dyDescent="0.25">
      <c r="D27" s="25">
        <v>22</v>
      </c>
      <c r="E27" s="25"/>
      <c r="F27" s="25"/>
      <c r="G27" s="25"/>
    </row>
    <row r="28" spans="4:7" ht="18" customHeight="1" x14ac:dyDescent="0.25">
      <c r="D28" s="25">
        <v>23</v>
      </c>
      <c r="E28" s="25"/>
      <c r="F28" s="25"/>
      <c r="G28" s="25"/>
    </row>
    <row r="29" spans="4:7" ht="18" customHeight="1" x14ac:dyDescent="0.25">
      <c r="D29" s="25">
        <v>24</v>
      </c>
      <c r="E29" s="25"/>
      <c r="F29" s="25"/>
      <c r="G29" s="25"/>
    </row>
    <row r="30" spans="4:7" ht="18" customHeight="1" x14ac:dyDescent="0.25">
      <c r="D30" s="25">
        <v>25</v>
      </c>
      <c r="E30" s="25"/>
      <c r="F30" s="25"/>
      <c r="G30" s="25"/>
    </row>
    <row r="31" spans="4:7" ht="18" customHeight="1" x14ac:dyDescent="0.25">
      <c r="D31" s="25">
        <v>26</v>
      </c>
      <c r="E31" s="25"/>
      <c r="F31" s="25"/>
      <c r="G31" s="25"/>
    </row>
    <row r="32" spans="4:7" ht="18" customHeight="1" x14ac:dyDescent="0.25">
      <c r="D32" s="25">
        <v>27</v>
      </c>
      <c r="E32" s="25"/>
      <c r="F32" s="25"/>
      <c r="G32" s="25"/>
    </row>
    <row r="33" spans="4:7" ht="18" customHeight="1" x14ac:dyDescent="0.25">
      <c r="D33" s="25">
        <v>28</v>
      </c>
      <c r="E33" s="25"/>
      <c r="F33" s="25"/>
      <c r="G33" s="25"/>
    </row>
    <row r="34" spans="4:7" ht="18" customHeight="1" x14ac:dyDescent="0.25">
      <c r="D34" s="25">
        <v>29</v>
      </c>
      <c r="E34" s="25"/>
      <c r="F34" s="25"/>
      <c r="G34" s="25"/>
    </row>
    <row r="35" spans="4:7" ht="18" customHeight="1" x14ac:dyDescent="0.25">
      <c r="D35" s="25">
        <v>30</v>
      </c>
      <c r="E35" s="25"/>
      <c r="F35" s="25"/>
      <c r="G35" s="25"/>
    </row>
    <row r="36" spans="4:7" ht="18" customHeight="1" x14ac:dyDescent="0.25">
      <c r="D36" s="25">
        <v>31</v>
      </c>
      <c r="E36" s="25"/>
      <c r="F36" s="25"/>
      <c r="G36" s="25"/>
    </row>
    <row r="37" spans="4:7" ht="18" customHeight="1" x14ac:dyDescent="0.25">
      <c r="D37" s="25">
        <v>32</v>
      </c>
      <c r="E37" s="25"/>
      <c r="F37" s="25"/>
      <c r="G37" s="25"/>
    </row>
    <row r="38" spans="4:7" ht="18" customHeight="1" x14ac:dyDescent="0.25">
      <c r="D38" s="25">
        <v>33</v>
      </c>
      <c r="E38" s="25"/>
      <c r="F38" s="25"/>
      <c r="G38" s="25"/>
    </row>
    <row r="39" spans="4:7" ht="18" customHeight="1" x14ac:dyDescent="0.25">
      <c r="D39" s="25">
        <v>34</v>
      </c>
      <c r="E39" s="25"/>
      <c r="F39" s="25"/>
      <c r="G39" s="25"/>
    </row>
    <row r="40" spans="4:7" ht="18" customHeight="1" x14ac:dyDescent="0.25">
      <c r="D40" s="25">
        <v>35</v>
      </c>
      <c r="E40" s="25"/>
      <c r="F40" s="25"/>
      <c r="G40" s="25"/>
    </row>
    <row r="41" spans="4:7" ht="18" customHeight="1" x14ac:dyDescent="0.25">
      <c r="D41" s="25">
        <v>36</v>
      </c>
      <c r="E41" s="25"/>
      <c r="F41" s="25"/>
      <c r="G41" s="25"/>
    </row>
    <row r="42" spans="4:7" ht="18" customHeight="1" x14ac:dyDescent="0.25">
      <c r="D42" s="25">
        <v>37</v>
      </c>
      <c r="E42" s="25"/>
      <c r="F42" s="25"/>
      <c r="G42" s="25"/>
    </row>
    <row r="43" spans="4:7" ht="18" customHeight="1" x14ac:dyDescent="0.25">
      <c r="D43" s="25">
        <v>38</v>
      </c>
      <c r="E43" s="25"/>
      <c r="F43" s="25"/>
      <c r="G43" s="25"/>
    </row>
    <row r="44" spans="4:7" ht="18" customHeight="1" x14ac:dyDescent="0.25">
      <c r="D44" s="25">
        <v>39</v>
      </c>
      <c r="E44" s="25"/>
      <c r="F44" s="25"/>
      <c r="G44" s="25"/>
    </row>
    <row r="45" spans="4:7" ht="18" customHeight="1" x14ac:dyDescent="0.25">
      <c r="D45" s="25">
        <v>40</v>
      </c>
      <c r="E45" s="25"/>
      <c r="F45" s="25"/>
      <c r="G45" s="25"/>
    </row>
    <row r="46" spans="4:7" ht="18" customHeight="1" x14ac:dyDescent="0.25">
      <c r="D46" s="25">
        <v>41</v>
      </c>
      <c r="E46" s="25"/>
      <c r="F46" s="25"/>
      <c r="G46" s="25"/>
    </row>
    <row r="47" spans="4:7" ht="18" customHeight="1" x14ac:dyDescent="0.25">
      <c r="D47" s="25">
        <v>42</v>
      </c>
      <c r="E47" s="25"/>
      <c r="F47" s="25"/>
      <c r="G47" s="25"/>
    </row>
    <row r="48" spans="4:7" ht="18" customHeight="1" x14ac:dyDescent="0.25">
      <c r="D48" s="25">
        <v>43</v>
      </c>
      <c r="E48" s="25"/>
      <c r="F48" s="25"/>
      <c r="G48" s="25"/>
    </row>
    <row r="49" spans="4:7" ht="18" customHeight="1" x14ac:dyDescent="0.25">
      <c r="D49" s="25">
        <v>44</v>
      </c>
      <c r="E49" s="25"/>
      <c r="F49" s="25"/>
      <c r="G49" s="25"/>
    </row>
    <row r="50" spans="4:7" ht="18" customHeight="1" x14ac:dyDescent="0.25">
      <c r="D50" s="25">
        <v>45</v>
      </c>
      <c r="E50" s="25"/>
      <c r="F50" s="25"/>
      <c r="G50" s="25"/>
    </row>
    <row r="51" spans="4:7" ht="18" customHeight="1" x14ac:dyDescent="0.25">
      <c r="D51" s="25">
        <v>46</v>
      </c>
      <c r="E51" s="25"/>
      <c r="F51" s="25"/>
      <c r="G51" s="25"/>
    </row>
    <row r="52" spans="4:7" ht="18" customHeight="1" x14ac:dyDescent="0.25">
      <c r="D52" s="25">
        <v>47</v>
      </c>
      <c r="E52" s="25"/>
      <c r="F52" s="25"/>
      <c r="G52" s="25"/>
    </row>
    <row r="53" spans="4:7" ht="18" customHeight="1" x14ac:dyDescent="0.25">
      <c r="D53" s="25">
        <v>48</v>
      </c>
      <c r="E53" s="25"/>
      <c r="F53" s="25"/>
      <c r="G53" s="25"/>
    </row>
    <row r="54" spans="4:7" ht="18" customHeight="1" x14ac:dyDescent="0.25">
      <c r="D54" s="25">
        <v>49</v>
      </c>
      <c r="E54" s="25"/>
      <c r="F54" s="25"/>
      <c r="G54" s="25"/>
    </row>
    <row r="55" spans="4:7" ht="18" customHeight="1" x14ac:dyDescent="0.25">
      <c r="D55" s="25">
        <v>50</v>
      </c>
      <c r="E55" s="25"/>
      <c r="F55" s="25"/>
      <c r="G55" s="25"/>
    </row>
    <row r="56" spans="4:7" ht="18" customHeight="1" x14ac:dyDescent="0.25">
      <c r="D56" s="25">
        <v>51</v>
      </c>
      <c r="E56" s="25"/>
      <c r="F56" s="25"/>
      <c r="G56" s="25"/>
    </row>
    <row r="57" spans="4:7" ht="18" customHeight="1" x14ac:dyDescent="0.25">
      <c r="D57" s="25">
        <v>52</v>
      </c>
      <c r="E57" s="25"/>
      <c r="F57" s="25"/>
      <c r="G57" s="25"/>
    </row>
    <row r="58" spans="4:7" ht="18" customHeight="1" x14ac:dyDescent="0.25">
      <c r="D58" s="25">
        <v>53</v>
      </c>
      <c r="E58" s="25"/>
      <c r="F58" s="25"/>
      <c r="G58" s="25"/>
    </row>
    <row r="59" spans="4:7" ht="18" customHeight="1" x14ac:dyDescent="0.25">
      <c r="D59" s="25">
        <v>54</v>
      </c>
      <c r="E59" s="25"/>
      <c r="F59" s="25"/>
      <c r="G59" s="25"/>
    </row>
    <row r="60" spans="4:7" ht="18" customHeight="1" x14ac:dyDescent="0.25">
      <c r="D60" s="25">
        <v>55</v>
      </c>
      <c r="E60" s="25"/>
      <c r="F60" s="25"/>
      <c r="G60" s="25"/>
    </row>
    <row r="61" spans="4:7" ht="18" customHeight="1" x14ac:dyDescent="0.25">
      <c r="D61" s="25">
        <v>56</v>
      </c>
      <c r="E61" s="25"/>
      <c r="F61" s="25"/>
      <c r="G61" s="25"/>
    </row>
    <row r="62" spans="4:7" ht="18" customHeight="1" x14ac:dyDescent="0.25">
      <c r="D62" s="25">
        <v>57</v>
      </c>
      <c r="E62" s="25"/>
      <c r="F62" s="25"/>
      <c r="G62" s="25"/>
    </row>
    <row r="63" spans="4:7" ht="18" customHeight="1" x14ac:dyDescent="0.25">
      <c r="D63" s="25">
        <v>58</v>
      </c>
      <c r="E63" s="25"/>
      <c r="F63" s="25"/>
      <c r="G63" s="25"/>
    </row>
    <row r="64" spans="4:7" ht="18" customHeight="1" x14ac:dyDescent="0.25">
      <c r="D64" s="25">
        <v>59</v>
      </c>
      <c r="E64" s="25"/>
      <c r="F64" s="25"/>
      <c r="G64" s="25"/>
    </row>
    <row r="65" spans="4:7" ht="18" customHeight="1" x14ac:dyDescent="0.25">
      <c r="D65" s="25">
        <v>60</v>
      </c>
      <c r="E65" s="25"/>
      <c r="F65" s="25"/>
      <c r="G65" s="25"/>
    </row>
    <row r="66" spans="4:7" ht="18" customHeight="1" x14ac:dyDescent="0.25">
      <c r="D66" s="25">
        <v>61</v>
      </c>
      <c r="E66" s="25"/>
      <c r="F66" s="25"/>
      <c r="G66" s="25"/>
    </row>
    <row r="67" spans="4:7" ht="18" customHeight="1" x14ac:dyDescent="0.25">
      <c r="D67" s="25">
        <v>62</v>
      </c>
      <c r="E67" s="25"/>
      <c r="F67" s="25"/>
      <c r="G67" s="25"/>
    </row>
    <row r="68" spans="4:7" ht="18" customHeight="1" x14ac:dyDescent="0.25">
      <c r="D68" s="25">
        <v>63</v>
      </c>
      <c r="E68" s="25"/>
      <c r="F68" s="25"/>
      <c r="G68" s="25"/>
    </row>
    <row r="69" spans="4:7" ht="18" customHeight="1" x14ac:dyDescent="0.25">
      <c r="D69" s="25">
        <v>64</v>
      </c>
      <c r="E69" s="25"/>
      <c r="F69" s="25"/>
      <c r="G69" s="25"/>
    </row>
    <row r="70" spans="4:7" ht="18" customHeight="1" x14ac:dyDescent="0.25">
      <c r="D70" s="25">
        <v>65</v>
      </c>
      <c r="E70" s="25"/>
      <c r="F70" s="25"/>
      <c r="G70" s="25"/>
    </row>
    <row r="71" spans="4:7" ht="18" customHeight="1" x14ac:dyDescent="0.25">
      <c r="D71" s="25">
        <v>66</v>
      </c>
      <c r="E71" s="25"/>
      <c r="F71" s="25"/>
      <c r="G71" s="25"/>
    </row>
    <row r="72" spans="4:7" ht="18" customHeight="1" x14ac:dyDescent="0.25">
      <c r="D72" s="25">
        <v>67</v>
      </c>
      <c r="E72" s="25"/>
      <c r="F72" s="25"/>
      <c r="G72" s="25"/>
    </row>
    <row r="73" spans="4:7" ht="18" customHeight="1" x14ac:dyDescent="0.25">
      <c r="D73" s="25">
        <v>68</v>
      </c>
      <c r="E73" s="25"/>
      <c r="F73" s="25"/>
      <c r="G73" s="25"/>
    </row>
    <row r="74" spans="4:7" ht="18" customHeight="1" x14ac:dyDescent="0.25">
      <c r="D74" s="25">
        <v>69</v>
      </c>
      <c r="E74" s="25"/>
      <c r="F74" s="25"/>
      <c r="G74" s="25"/>
    </row>
    <row r="75" spans="4:7" ht="18" customHeight="1" x14ac:dyDescent="0.25">
      <c r="D75" s="25">
        <v>70</v>
      </c>
      <c r="E75" s="25"/>
      <c r="F75" s="25"/>
      <c r="G75" s="25"/>
    </row>
    <row r="76" spans="4:7" ht="18" customHeight="1" x14ac:dyDescent="0.25">
      <c r="D76" s="25">
        <v>71</v>
      </c>
      <c r="E76" s="25"/>
      <c r="F76" s="25"/>
      <c r="G76" s="25"/>
    </row>
    <row r="77" spans="4:7" ht="18" customHeight="1" x14ac:dyDescent="0.25">
      <c r="D77" s="25">
        <v>72</v>
      </c>
      <c r="E77" s="25"/>
      <c r="F77" s="25"/>
      <c r="G77" s="25"/>
    </row>
    <row r="78" spans="4:7" ht="18" customHeight="1" x14ac:dyDescent="0.25">
      <c r="D78" s="25">
        <v>73</v>
      </c>
      <c r="E78" s="25"/>
      <c r="F78" s="25"/>
      <c r="G78" s="25"/>
    </row>
    <row r="79" spans="4:7" ht="18" customHeight="1" x14ac:dyDescent="0.25">
      <c r="D79" s="25">
        <v>74</v>
      </c>
      <c r="E79" s="25"/>
      <c r="F79" s="25"/>
      <c r="G79" s="25"/>
    </row>
    <row r="80" spans="4:7" ht="18" customHeight="1" x14ac:dyDescent="0.25">
      <c r="D80" s="25">
        <v>75</v>
      </c>
      <c r="E80" s="25"/>
      <c r="F80" s="25"/>
      <c r="G80" s="25"/>
    </row>
    <row r="81" spans="4:7" ht="18" customHeight="1" x14ac:dyDescent="0.25">
      <c r="D81" s="25">
        <v>76</v>
      </c>
      <c r="E81" s="25"/>
      <c r="F81" s="25"/>
      <c r="G81" s="25"/>
    </row>
    <row r="82" spans="4:7" ht="18" customHeight="1" x14ac:dyDescent="0.25">
      <c r="D82" s="25">
        <v>77</v>
      </c>
      <c r="E82" s="25"/>
      <c r="F82" s="25"/>
      <c r="G82" s="25"/>
    </row>
    <row r="83" spans="4:7" ht="18" customHeight="1" x14ac:dyDescent="0.25">
      <c r="D83" s="25">
        <v>78</v>
      </c>
      <c r="E83" s="25"/>
      <c r="F83" s="25"/>
      <c r="G83" s="25"/>
    </row>
    <row r="84" spans="4:7" ht="18" customHeight="1" x14ac:dyDescent="0.25">
      <c r="D84" s="25">
        <v>79</v>
      </c>
      <c r="E84" s="25"/>
      <c r="F84" s="25"/>
      <c r="G84" s="25"/>
    </row>
    <row r="85" spans="4:7" ht="18" customHeight="1" x14ac:dyDescent="0.25">
      <c r="D85" s="25">
        <v>80</v>
      </c>
      <c r="E85" s="25"/>
      <c r="F85" s="25"/>
      <c r="G85" s="25"/>
    </row>
    <row r="86" spans="4:7" ht="18" customHeight="1" x14ac:dyDescent="0.25">
      <c r="D86" s="25">
        <v>81</v>
      </c>
      <c r="E86" s="25"/>
      <c r="F86" s="25"/>
      <c r="G86" s="25"/>
    </row>
    <row r="87" spans="4:7" ht="18" customHeight="1" x14ac:dyDescent="0.25">
      <c r="D87" s="25">
        <v>82</v>
      </c>
      <c r="E87" s="25"/>
      <c r="F87" s="25"/>
      <c r="G87" s="25"/>
    </row>
    <row r="88" spans="4:7" ht="18" customHeight="1" x14ac:dyDescent="0.25">
      <c r="D88" s="25">
        <v>83</v>
      </c>
      <c r="E88" s="25"/>
      <c r="F88" s="25"/>
      <c r="G88" s="25"/>
    </row>
    <row r="89" spans="4:7" ht="18" customHeight="1" x14ac:dyDescent="0.25">
      <c r="D89" s="25">
        <v>84</v>
      </c>
      <c r="E89" s="25"/>
      <c r="F89" s="25"/>
      <c r="G89" s="25"/>
    </row>
    <row r="90" spans="4:7" ht="18" customHeight="1" x14ac:dyDescent="0.25">
      <c r="D90" s="25">
        <v>85</v>
      </c>
      <c r="E90" s="25"/>
      <c r="F90" s="25"/>
      <c r="G90" s="25"/>
    </row>
    <row r="91" spans="4:7" ht="18" customHeight="1" x14ac:dyDescent="0.25">
      <c r="D91" s="25">
        <v>86</v>
      </c>
      <c r="E91" s="25"/>
      <c r="F91" s="25"/>
      <c r="G91" s="25"/>
    </row>
    <row r="92" spans="4:7" ht="18" customHeight="1" x14ac:dyDescent="0.25">
      <c r="D92" s="25">
        <v>87</v>
      </c>
      <c r="E92" s="25"/>
      <c r="F92" s="25"/>
      <c r="G92" s="25"/>
    </row>
    <row r="93" spans="4:7" ht="18" customHeight="1" x14ac:dyDescent="0.25">
      <c r="D93" s="25">
        <v>88</v>
      </c>
      <c r="E93" s="25"/>
      <c r="F93" s="25"/>
      <c r="G93" s="25"/>
    </row>
    <row r="94" spans="4:7" ht="18" customHeight="1" x14ac:dyDescent="0.25">
      <c r="D94" s="25">
        <v>89</v>
      </c>
      <c r="E94" s="25"/>
      <c r="F94" s="25"/>
      <c r="G94" s="25"/>
    </row>
    <row r="95" spans="4:7" ht="18" customHeight="1" x14ac:dyDescent="0.25">
      <c r="D95" s="25">
        <v>90</v>
      </c>
      <c r="E95" s="25"/>
      <c r="F95" s="25"/>
      <c r="G95" s="25"/>
    </row>
    <row r="96" spans="4:7" ht="18" customHeight="1" x14ac:dyDescent="0.25">
      <c r="D96" s="25">
        <v>91</v>
      </c>
      <c r="E96" s="25"/>
      <c r="F96" s="25"/>
      <c r="G96" s="25"/>
    </row>
    <row r="97" spans="4:7" ht="18" customHeight="1" x14ac:dyDescent="0.25">
      <c r="D97" s="25">
        <v>92</v>
      </c>
      <c r="E97" s="25"/>
      <c r="F97" s="25"/>
      <c r="G97" s="25"/>
    </row>
    <row r="98" spans="4:7" ht="18" customHeight="1" x14ac:dyDescent="0.25">
      <c r="D98" s="25">
        <v>93</v>
      </c>
      <c r="E98" s="25"/>
      <c r="F98" s="25"/>
      <c r="G98" s="25"/>
    </row>
    <row r="99" spans="4:7" ht="18" customHeight="1" x14ac:dyDescent="0.25">
      <c r="D99" s="25">
        <v>94</v>
      </c>
      <c r="E99" s="25"/>
      <c r="F99" s="25"/>
      <c r="G99" s="25"/>
    </row>
    <row r="100" spans="4:7" ht="18" customHeight="1" x14ac:dyDescent="0.25">
      <c r="D100" s="25">
        <v>95</v>
      </c>
      <c r="E100" s="25"/>
      <c r="F100" s="25"/>
      <c r="G100" s="25"/>
    </row>
    <row r="101" spans="4:7" ht="18" customHeight="1" x14ac:dyDescent="0.25">
      <c r="D101" s="25">
        <v>96</v>
      </c>
      <c r="E101" s="25"/>
      <c r="F101" s="25"/>
      <c r="G101" s="25"/>
    </row>
    <row r="102" spans="4:7" ht="18" customHeight="1" x14ac:dyDescent="0.25">
      <c r="D102" s="25">
        <v>97</v>
      </c>
      <c r="E102" s="25"/>
      <c r="F102" s="25"/>
      <c r="G102" s="25"/>
    </row>
    <row r="103" spans="4:7" ht="18" customHeight="1" x14ac:dyDescent="0.25">
      <c r="D103" s="25">
        <v>98</v>
      </c>
      <c r="E103" s="25"/>
      <c r="F103" s="25"/>
      <c r="G103" s="25"/>
    </row>
    <row r="104" spans="4:7" ht="18" customHeight="1" x14ac:dyDescent="0.25">
      <c r="D104" s="25">
        <v>99</v>
      </c>
      <c r="E104" s="25"/>
      <c r="F104" s="25"/>
      <c r="G104" s="25"/>
    </row>
    <row r="105" spans="4:7" ht="18" customHeight="1" x14ac:dyDescent="0.25">
      <c r="D105" s="25">
        <v>100</v>
      </c>
      <c r="E105" s="25"/>
      <c r="F105" s="25"/>
      <c r="G105" s="25"/>
    </row>
    <row r="107" spans="4:7" ht="18" customHeight="1" thickBot="1" x14ac:dyDescent="0.3">
      <c r="D107" s="26"/>
      <c r="E107" s="26"/>
      <c r="F107" s="26"/>
      <c r="G107" s="26"/>
    </row>
  </sheetData>
  <phoneticPr fontId="1"/>
  <conditionalFormatting sqref="D6:D105">
    <cfRule type="expression" dxfId="3" priority="3">
      <formula>F6="非参加"</formula>
    </cfRule>
  </conditionalFormatting>
  <conditionalFormatting sqref="E6:E105">
    <cfRule type="expression" dxfId="2" priority="1">
      <formula>F6="非参加"</formula>
    </cfRule>
  </conditionalFormatting>
  <conditionalFormatting sqref="F6:F105">
    <cfRule type="expression" dxfId="1" priority="2">
      <formula>F6="非参加"</formula>
    </cfRule>
  </conditionalFormatting>
  <conditionalFormatting sqref="G6:G105">
    <cfRule type="expression" dxfId="0" priority="4">
      <formula>F6="非参加"</formula>
    </cfRule>
  </conditionalFormatting>
  <dataValidations count="1">
    <dataValidation type="list" allowBlank="1" showInputMessage="1" showErrorMessage="1" sqref="F6:F1048576" xr:uid="{49A599AA-1EA0-4989-8A5D-264ABA5C8182}">
      <formula1>"参加,非参加"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58933-CF4D-47A5-8310-ACA7197F6445}">
  <dimension ref="F9"/>
  <sheetViews>
    <sheetView workbookViewId="0"/>
  </sheetViews>
  <sheetFormatPr defaultRowHeight="18" customHeight="1" x14ac:dyDescent="0.25"/>
  <cols>
    <col min="1" max="1" width="2.19921875" style="18" customWidth="1"/>
    <col min="2" max="3" width="1.69921875" style="18" customWidth="1"/>
    <col min="4" max="16384" width="8.796875" style="18"/>
  </cols>
  <sheetData>
    <row r="9" spans="6:6" ht="18" customHeight="1" x14ac:dyDescent="0.25">
      <c r="F9" s="17"/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58CE5-C384-4EAE-B476-5B6984AEAE7A}">
  <dimension ref="F9"/>
  <sheetViews>
    <sheetView workbookViewId="0"/>
  </sheetViews>
  <sheetFormatPr defaultRowHeight="18" customHeight="1" x14ac:dyDescent="0.25"/>
  <cols>
    <col min="1" max="1" width="2.19921875" style="19" customWidth="1"/>
    <col min="2" max="3" width="1.69921875" style="19" customWidth="1"/>
    <col min="4" max="16384" width="8.796875" style="19"/>
  </cols>
  <sheetData>
    <row r="9" spans="6:6" ht="18" customHeight="1" x14ac:dyDescent="0.25">
      <c r="F9" s="20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BF1D9-F714-4F4E-B8B6-864222055876}">
  <dimension ref="A1:E1828"/>
  <sheetViews>
    <sheetView workbookViewId="0">
      <selection activeCell="G7" sqref="G7"/>
    </sheetView>
  </sheetViews>
  <sheetFormatPr defaultRowHeight="18" customHeight="1" x14ac:dyDescent="0.25"/>
  <cols>
    <col min="1" max="1" width="9.59765625" style="1" bestFit="1" customWidth="1"/>
    <col min="2" max="2" width="5.19921875" style="29" bestFit="1" customWidth="1"/>
    <col min="3" max="3" width="7" style="1" bestFit="1" customWidth="1"/>
    <col min="4" max="4" width="10.59765625" style="1" bestFit="1" customWidth="1"/>
    <col min="5" max="5" width="12.3984375" style="1" bestFit="1" customWidth="1"/>
    <col min="6" max="16384" width="8.796875" style="1"/>
  </cols>
  <sheetData>
    <row r="1" spans="1:5" ht="18" customHeight="1" x14ac:dyDescent="0.25">
      <c r="A1" s="7" t="s">
        <v>24</v>
      </c>
      <c r="B1" s="28" t="s">
        <v>25</v>
      </c>
      <c r="C1" s="7" t="s">
        <v>26</v>
      </c>
      <c r="D1" s="7" t="s">
        <v>27</v>
      </c>
      <c r="E1" s="7" t="s">
        <v>28</v>
      </c>
    </row>
    <row r="2" spans="1:5" ht="18" customHeight="1" x14ac:dyDescent="0.25">
      <c r="A2" s="27">
        <v>45017</v>
      </c>
      <c r="B2" s="29">
        <f>MONTH(W_カレンダー[[#This Row],[日付]])</f>
        <v>4</v>
      </c>
      <c r="C2" s="1">
        <f>YEAR(W_カレンダー[[#This Row],[日付]])</f>
        <v>2023</v>
      </c>
      <c r="D2" s="1">
        <f>IF(W_カレンダー[[#This Row],[月]]&lt;=3,W_カレンダー[[#This Row],[暦年]]-1,W_カレンダー[[#This Row],[暦年]])</f>
        <v>2023</v>
      </c>
      <c r="E2" s="1" t="str">
        <f>IF(W_カレンダー[[#This Row],[月]]&lt;=3,"Q4",IF(W_カレンダー[[#This Row],[月]]&lt;=6,"Q1",IF(W_カレンダー[[#This Row],[月]]&lt;=9,"Q2","Q3")))</f>
        <v>Q1</v>
      </c>
    </row>
    <row r="3" spans="1:5" ht="18" customHeight="1" x14ac:dyDescent="0.25">
      <c r="A3" s="27">
        <v>45018</v>
      </c>
      <c r="B3" s="29">
        <f>MONTH(W_カレンダー[[#This Row],[日付]])</f>
        <v>4</v>
      </c>
      <c r="C3" s="1">
        <f>YEAR(W_カレンダー[[#This Row],[日付]])</f>
        <v>2023</v>
      </c>
      <c r="D3" s="1">
        <f>IF(W_カレンダー[[#This Row],[月]]&lt;=3,W_カレンダー[[#This Row],[暦年]]-1,W_カレンダー[[#This Row],[暦年]])</f>
        <v>2023</v>
      </c>
      <c r="E3" s="1" t="str">
        <f>IF(W_カレンダー[[#This Row],[月]]&lt;=3,"Q4",IF(W_カレンダー[[#This Row],[月]]&lt;=6,"Q1",IF(W_カレンダー[[#This Row],[月]]&lt;=9,"Q2","Q3")))</f>
        <v>Q1</v>
      </c>
    </row>
    <row r="4" spans="1:5" ht="18" customHeight="1" x14ac:dyDescent="0.25">
      <c r="A4" s="27">
        <v>45019</v>
      </c>
      <c r="B4" s="29">
        <f>MONTH(W_カレンダー[[#This Row],[日付]])</f>
        <v>4</v>
      </c>
      <c r="C4" s="1">
        <f>YEAR(W_カレンダー[[#This Row],[日付]])</f>
        <v>2023</v>
      </c>
      <c r="D4" s="1">
        <f>IF(W_カレンダー[[#This Row],[月]]&lt;=3,W_カレンダー[[#This Row],[暦年]]-1,W_カレンダー[[#This Row],[暦年]])</f>
        <v>2023</v>
      </c>
      <c r="E4" s="1" t="str">
        <f>IF(W_カレンダー[[#This Row],[月]]&lt;=3,"Q4",IF(W_カレンダー[[#This Row],[月]]&lt;=6,"Q1",IF(W_カレンダー[[#This Row],[月]]&lt;=9,"Q2","Q3")))</f>
        <v>Q1</v>
      </c>
    </row>
    <row r="5" spans="1:5" ht="18" customHeight="1" x14ac:dyDescent="0.25">
      <c r="A5" s="27">
        <v>45020</v>
      </c>
      <c r="B5" s="29">
        <f>MONTH(W_カレンダー[[#This Row],[日付]])</f>
        <v>4</v>
      </c>
      <c r="C5" s="1">
        <f>YEAR(W_カレンダー[[#This Row],[日付]])</f>
        <v>2023</v>
      </c>
      <c r="D5" s="1">
        <f>IF(W_カレンダー[[#This Row],[月]]&lt;=3,W_カレンダー[[#This Row],[暦年]]-1,W_カレンダー[[#This Row],[暦年]])</f>
        <v>2023</v>
      </c>
      <c r="E5" s="1" t="str">
        <f>IF(W_カレンダー[[#This Row],[月]]&lt;=3,"Q4",IF(W_カレンダー[[#This Row],[月]]&lt;=6,"Q1",IF(W_カレンダー[[#This Row],[月]]&lt;=9,"Q2","Q3")))</f>
        <v>Q1</v>
      </c>
    </row>
    <row r="6" spans="1:5" ht="18" customHeight="1" x14ac:dyDescent="0.25">
      <c r="A6" s="27">
        <v>45021</v>
      </c>
      <c r="B6" s="29">
        <f>MONTH(W_カレンダー[[#This Row],[日付]])</f>
        <v>4</v>
      </c>
      <c r="C6" s="1">
        <f>YEAR(W_カレンダー[[#This Row],[日付]])</f>
        <v>2023</v>
      </c>
      <c r="D6" s="1">
        <f>IF(W_カレンダー[[#This Row],[月]]&lt;=3,W_カレンダー[[#This Row],[暦年]]-1,W_カレンダー[[#This Row],[暦年]])</f>
        <v>2023</v>
      </c>
      <c r="E6" s="1" t="str">
        <f>IF(W_カレンダー[[#This Row],[月]]&lt;=3,"Q4",IF(W_カレンダー[[#This Row],[月]]&lt;=6,"Q1",IF(W_カレンダー[[#This Row],[月]]&lt;=9,"Q2","Q3")))</f>
        <v>Q1</v>
      </c>
    </row>
    <row r="7" spans="1:5" ht="18" customHeight="1" x14ac:dyDescent="0.25">
      <c r="A7" s="27">
        <v>45022</v>
      </c>
      <c r="B7" s="29">
        <f>MONTH(W_カレンダー[[#This Row],[日付]])</f>
        <v>4</v>
      </c>
      <c r="C7" s="1">
        <f>YEAR(W_カレンダー[[#This Row],[日付]])</f>
        <v>2023</v>
      </c>
      <c r="D7" s="1">
        <f>IF(W_カレンダー[[#This Row],[月]]&lt;=3,W_カレンダー[[#This Row],[暦年]]-1,W_カレンダー[[#This Row],[暦年]])</f>
        <v>2023</v>
      </c>
      <c r="E7" s="1" t="str">
        <f>IF(W_カレンダー[[#This Row],[月]]&lt;=3,"Q4",IF(W_カレンダー[[#This Row],[月]]&lt;=6,"Q1",IF(W_カレンダー[[#This Row],[月]]&lt;=9,"Q2","Q3")))</f>
        <v>Q1</v>
      </c>
    </row>
    <row r="8" spans="1:5" ht="18" customHeight="1" x14ac:dyDescent="0.25">
      <c r="A8" s="27">
        <v>45023</v>
      </c>
      <c r="B8" s="29">
        <f>MONTH(W_カレンダー[[#This Row],[日付]])</f>
        <v>4</v>
      </c>
      <c r="C8" s="1">
        <f>YEAR(W_カレンダー[[#This Row],[日付]])</f>
        <v>2023</v>
      </c>
      <c r="D8" s="1">
        <f>IF(W_カレンダー[[#This Row],[月]]&lt;=3,W_カレンダー[[#This Row],[暦年]]-1,W_カレンダー[[#This Row],[暦年]])</f>
        <v>2023</v>
      </c>
      <c r="E8" s="1" t="str">
        <f>IF(W_カレンダー[[#This Row],[月]]&lt;=3,"Q4",IF(W_カレンダー[[#This Row],[月]]&lt;=6,"Q1",IF(W_カレンダー[[#This Row],[月]]&lt;=9,"Q2","Q3")))</f>
        <v>Q1</v>
      </c>
    </row>
    <row r="9" spans="1:5" ht="18" customHeight="1" x14ac:dyDescent="0.25">
      <c r="A9" s="27">
        <v>45024</v>
      </c>
      <c r="B9" s="29">
        <f>MONTH(W_カレンダー[[#This Row],[日付]])</f>
        <v>4</v>
      </c>
      <c r="C9" s="1">
        <f>YEAR(W_カレンダー[[#This Row],[日付]])</f>
        <v>2023</v>
      </c>
      <c r="D9" s="1">
        <f>IF(W_カレンダー[[#This Row],[月]]&lt;=3,W_カレンダー[[#This Row],[暦年]]-1,W_カレンダー[[#This Row],[暦年]])</f>
        <v>2023</v>
      </c>
      <c r="E9" s="1" t="str">
        <f>IF(W_カレンダー[[#This Row],[月]]&lt;=3,"Q4",IF(W_カレンダー[[#This Row],[月]]&lt;=6,"Q1",IF(W_カレンダー[[#This Row],[月]]&lt;=9,"Q2","Q3")))</f>
        <v>Q1</v>
      </c>
    </row>
    <row r="10" spans="1:5" ht="18" customHeight="1" x14ac:dyDescent="0.25">
      <c r="A10" s="27">
        <v>45025</v>
      </c>
      <c r="B10" s="29">
        <f>MONTH(W_カレンダー[[#This Row],[日付]])</f>
        <v>4</v>
      </c>
      <c r="C10" s="1">
        <f>YEAR(W_カレンダー[[#This Row],[日付]])</f>
        <v>2023</v>
      </c>
      <c r="D10" s="1">
        <f>IF(W_カレンダー[[#This Row],[月]]&lt;=3,W_カレンダー[[#This Row],[暦年]]-1,W_カレンダー[[#This Row],[暦年]])</f>
        <v>2023</v>
      </c>
      <c r="E10" s="1" t="str">
        <f>IF(W_カレンダー[[#This Row],[月]]&lt;=3,"Q4",IF(W_カレンダー[[#This Row],[月]]&lt;=6,"Q1",IF(W_カレンダー[[#This Row],[月]]&lt;=9,"Q2","Q3")))</f>
        <v>Q1</v>
      </c>
    </row>
    <row r="11" spans="1:5" ht="18" customHeight="1" x14ac:dyDescent="0.25">
      <c r="A11" s="27">
        <v>45026</v>
      </c>
      <c r="B11" s="29">
        <f>MONTH(W_カレンダー[[#This Row],[日付]])</f>
        <v>4</v>
      </c>
      <c r="C11" s="1">
        <f>YEAR(W_カレンダー[[#This Row],[日付]])</f>
        <v>2023</v>
      </c>
      <c r="D11" s="1">
        <f>IF(W_カレンダー[[#This Row],[月]]&lt;=3,W_カレンダー[[#This Row],[暦年]]-1,W_カレンダー[[#This Row],[暦年]])</f>
        <v>2023</v>
      </c>
      <c r="E11" s="1" t="str">
        <f>IF(W_カレンダー[[#This Row],[月]]&lt;=3,"Q4",IF(W_カレンダー[[#This Row],[月]]&lt;=6,"Q1",IF(W_カレンダー[[#This Row],[月]]&lt;=9,"Q2","Q3")))</f>
        <v>Q1</v>
      </c>
    </row>
    <row r="12" spans="1:5" ht="18" customHeight="1" x14ac:dyDescent="0.25">
      <c r="A12" s="27">
        <v>45027</v>
      </c>
      <c r="B12" s="29">
        <f>MONTH(W_カレンダー[[#This Row],[日付]])</f>
        <v>4</v>
      </c>
      <c r="C12" s="1">
        <f>YEAR(W_カレンダー[[#This Row],[日付]])</f>
        <v>2023</v>
      </c>
      <c r="D12" s="1">
        <f>IF(W_カレンダー[[#This Row],[月]]&lt;=3,W_カレンダー[[#This Row],[暦年]]-1,W_カレンダー[[#This Row],[暦年]])</f>
        <v>2023</v>
      </c>
      <c r="E12" s="1" t="str">
        <f>IF(W_カレンダー[[#This Row],[月]]&lt;=3,"Q4",IF(W_カレンダー[[#This Row],[月]]&lt;=6,"Q1",IF(W_カレンダー[[#This Row],[月]]&lt;=9,"Q2","Q3")))</f>
        <v>Q1</v>
      </c>
    </row>
    <row r="13" spans="1:5" ht="18" customHeight="1" x14ac:dyDescent="0.25">
      <c r="A13" s="27">
        <v>45028</v>
      </c>
      <c r="B13" s="29">
        <f>MONTH(W_カレンダー[[#This Row],[日付]])</f>
        <v>4</v>
      </c>
      <c r="C13" s="1">
        <f>YEAR(W_カレンダー[[#This Row],[日付]])</f>
        <v>2023</v>
      </c>
      <c r="D13" s="1">
        <f>IF(W_カレンダー[[#This Row],[月]]&lt;=3,W_カレンダー[[#This Row],[暦年]]-1,W_カレンダー[[#This Row],[暦年]])</f>
        <v>2023</v>
      </c>
      <c r="E13" s="1" t="str">
        <f>IF(W_カレンダー[[#This Row],[月]]&lt;=3,"Q4",IF(W_カレンダー[[#This Row],[月]]&lt;=6,"Q1",IF(W_カレンダー[[#This Row],[月]]&lt;=9,"Q2","Q3")))</f>
        <v>Q1</v>
      </c>
    </row>
    <row r="14" spans="1:5" ht="18" customHeight="1" x14ac:dyDescent="0.25">
      <c r="A14" s="27">
        <v>45029</v>
      </c>
      <c r="B14" s="29">
        <f>MONTH(W_カレンダー[[#This Row],[日付]])</f>
        <v>4</v>
      </c>
      <c r="C14" s="1">
        <f>YEAR(W_カレンダー[[#This Row],[日付]])</f>
        <v>2023</v>
      </c>
      <c r="D14" s="1">
        <f>IF(W_カレンダー[[#This Row],[月]]&lt;=3,W_カレンダー[[#This Row],[暦年]]-1,W_カレンダー[[#This Row],[暦年]])</f>
        <v>2023</v>
      </c>
      <c r="E14" s="1" t="str">
        <f>IF(W_カレンダー[[#This Row],[月]]&lt;=3,"Q4",IF(W_カレンダー[[#This Row],[月]]&lt;=6,"Q1",IF(W_カレンダー[[#This Row],[月]]&lt;=9,"Q2","Q3")))</f>
        <v>Q1</v>
      </c>
    </row>
    <row r="15" spans="1:5" ht="18" customHeight="1" x14ac:dyDescent="0.25">
      <c r="A15" s="27">
        <v>45030</v>
      </c>
      <c r="B15" s="29">
        <f>MONTH(W_カレンダー[[#This Row],[日付]])</f>
        <v>4</v>
      </c>
      <c r="C15" s="1">
        <f>YEAR(W_カレンダー[[#This Row],[日付]])</f>
        <v>2023</v>
      </c>
      <c r="D15" s="1">
        <f>IF(W_カレンダー[[#This Row],[月]]&lt;=3,W_カレンダー[[#This Row],[暦年]]-1,W_カレンダー[[#This Row],[暦年]])</f>
        <v>2023</v>
      </c>
      <c r="E15" s="1" t="str">
        <f>IF(W_カレンダー[[#This Row],[月]]&lt;=3,"Q4",IF(W_カレンダー[[#This Row],[月]]&lt;=6,"Q1",IF(W_カレンダー[[#This Row],[月]]&lt;=9,"Q2","Q3")))</f>
        <v>Q1</v>
      </c>
    </row>
    <row r="16" spans="1:5" ht="18" customHeight="1" x14ac:dyDescent="0.25">
      <c r="A16" s="27">
        <v>45031</v>
      </c>
      <c r="B16" s="29">
        <f>MONTH(W_カレンダー[[#This Row],[日付]])</f>
        <v>4</v>
      </c>
      <c r="C16" s="1">
        <f>YEAR(W_カレンダー[[#This Row],[日付]])</f>
        <v>2023</v>
      </c>
      <c r="D16" s="1">
        <f>IF(W_カレンダー[[#This Row],[月]]&lt;=3,W_カレンダー[[#This Row],[暦年]]-1,W_カレンダー[[#This Row],[暦年]])</f>
        <v>2023</v>
      </c>
      <c r="E16" s="1" t="str">
        <f>IF(W_カレンダー[[#This Row],[月]]&lt;=3,"Q4",IF(W_カレンダー[[#This Row],[月]]&lt;=6,"Q1",IF(W_カレンダー[[#This Row],[月]]&lt;=9,"Q2","Q3")))</f>
        <v>Q1</v>
      </c>
    </row>
    <row r="17" spans="1:5" ht="18" customHeight="1" x14ac:dyDescent="0.25">
      <c r="A17" s="27">
        <v>45032</v>
      </c>
      <c r="B17" s="29">
        <f>MONTH(W_カレンダー[[#This Row],[日付]])</f>
        <v>4</v>
      </c>
      <c r="C17" s="1">
        <f>YEAR(W_カレンダー[[#This Row],[日付]])</f>
        <v>2023</v>
      </c>
      <c r="D17" s="1">
        <f>IF(W_カレンダー[[#This Row],[月]]&lt;=3,W_カレンダー[[#This Row],[暦年]]-1,W_カレンダー[[#This Row],[暦年]])</f>
        <v>2023</v>
      </c>
      <c r="E17" s="1" t="str">
        <f>IF(W_カレンダー[[#This Row],[月]]&lt;=3,"Q4",IF(W_カレンダー[[#This Row],[月]]&lt;=6,"Q1",IF(W_カレンダー[[#This Row],[月]]&lt;=9,"Q2","Q3")))</f>
        <v>Q1</v>
      </c>
    </row>
    <row r="18" spans="1:5" ht="18" customHeight="1" x14ac:dyDescent="0.25">
      <c r="A18" s="27">
        <v>45033</v>
      </c>
      <c r="B18" s="29">
        <f>MONTH(W_カレンダー[[#This Row],[日付]])</f>
        <v>4</v>
      </c>
      <c r="C18" s="1">
        <f>YEAR(W_カレンダー[[#This Row],[日付]])</f>
        <v>2023</v>
      </c>
      <c r="D18" s="1">
        <f>IF(W_カレンダー[[#This Row],[月]]&lt;=3,W_カレンダー[[#This Row],[暦年]]-1,W_カレンダー[[#This Row],[暦年]])</f>
        <v>2023</v>
      </c>
      <c r="E18" s="1" t="str">
        <f>IF(W_カレンダー[[#This Row],[月]]&lt;=3,"Q4",IF(W_カレンダー[[#This Row],[月]]&lt;=6,"Q1",IF(W_カレンダー[[#This Row],[月]]&lt;=9,"Q2","Q3")))</f>
        <v>Q1</v>
      </c>
    </row>
    <row r="19" spans="1:5" ht="18" customHeight="1" x14ac:dyDescent="0.25">
      <c r="A19" s="27">
        <v>45034</v>
      </c>
      <c r="B19" s="29">
        <f>MONTH(W_カレンダー[[#This Row],[日付]])</f>
        <v>4</v>
      </c>
      <c r="C19" s="1">
        <f>YEAR(W_カレンダー[[#This Row],[日付]])</f>
        <v>2023</v>
      </c>
      <c r="D19" s="1">
        <f>IF(W_カレンダー[[#This Row],[月]]&lt;=3,W_カレンダー[[#This Row],[暦年]]-1,W_カレンダー[[#This Row],[暦年]])</f>
        <v>2023</v>
      </c>
      <c r="E19" s="1" t="str">
        <f>IF(W_カレンダー[[#This Row],[月]]&lt;=3,"Q4",IF(W_カレンダー[[#This Row],[月]]&lt;=6,"Q1",IF(W_カレンダー[[#This Row],[月]]&lt;=9,"Q2","Q3")))</f>
        <v>Q1</v>
      </c>
    </row>
    <row r="20" spans="1:5" ht="18" customHeight="1" x14ac:dyDescent="0.25">
      <c r="A20" s="27">
        <v>45035</v>
      </c>
      <c r="B20" s="29">
        <f>MONTH(W_カレンダー[[#This Row],[日付]])</f>
        <v>4</v>
      </c>
      <c r="C20" s="1">
        <f>YEAR(W_カレンダー[[#This Row],[日付]])</f>
        <v>2023</v>
      </c>
      <c r="D20" s="1">
        <f>IF(W_カレンダー[[#This Row],[月]]&lt;=3,W_カレンダー[[#This Row],[暦年]]-1,W_カレンダー[[#This Row],[暦年]])</f>
        <v>2023</v>
      </c>
      <c r="E20" s="1" t="str">
        <f>IF(W_カレンダー[[#This Row],[月]]&lt;=3,"Q4",IF(W_カレンダー[[#This Row],[月]]&lt;=6,"Q1",IF(W_カレンダー[[#This Row],[月]]&lt;=9,"Q2","Q3")))</f>
        <v>Q1</v>
      </c>
    </row>
    <row r="21" spans="1:5" ht="18" customHeight="1" x14ac:dyDescent="0.25">
      <c r="A21" s="27">
        <v>45036</v>
      </c>
      <c r="B21" s="29">
        <f>MONTH(W_カレンダー[[#This Row],[日付]])</f>
        <v>4</v>
      </c>
      <c r="C21" s="1">
        <f>YEAR(W_カレンダー[[#This Row],[日付]])</f>
        <v>2023</v>
      </c>
      <c r="D21" s="1">
        <f>IF(W_カレンダー[[#This Row],[月]]&lt;=3,W_カレンダー[[#This Row],[暦年]]-1,W_カレンダー[[#This Row],[暦年]])</f>
        <v>2023</v>
      </c>
      <c r="E21" s="1" t="str">
        <f>IF(W_カレンダー[[#This Row],[月]]&lt;=3,"Q4",IF(W_カレンダー[[#This Row],[月]]&lt;=6,"Q1",IF(W_カレンダー[[#This Row],[月]]&lt;=9,"Q2","Q3")))</f>
        <v>Q1</v>
      </c>
    </row>
    <row r="22" spans="1:5" ht="18" customHeight="1" x14ac:dyDescent="0.25">
      <c r="A22" s="27">
        <v>45037</v>
      </c>
      <c r="B22" s="29">
        <f>MONTH(W_カレンダー[[#This Row],[日付]])</f>
        <v>4</v>
      </c>
      <c r="C22" s="1">
        <f>YEAR(W_カレンダー[[#This Row],[日付]])</f>
        <v>2023</v>
      </c>
      <c r="D22" s="1">
        <f>IF(W_カレンダー[[#This Row],[月]]&lt;=3,W_カレンダー[[#This Row],[暦年]]-1,W_カレンダー[[#This Row],[暦年]])</f>
        <v>2023</v>
      </c>
      <c r="E22" s="1" t="str">
        <f>IF(W_カレンダー[[#This Row],[月]]&lt;=3,"Q4",IF(W_カレンダー[[#This Row],[月]]&lt;=6,"Q1",IF(W_カレンダー[[#This Row],[月]]&lt;=9,"Q2","Q3")))</f>
        <v>Q1</v>
      </c>
    </row>
    <row r="23" spans="1:5" ht="18" customHeight="1" x14ac:dyDescent="0.25">
      <c r="A23" s="27">
        <v>45038</v>
      </c>
      <c r="B23" s="29">
        <f>MONTH(W_カレンダー[[#This Row],[日付]])</f>
        <v>4</v>
      </c>
      <c r="C23" s="1">
        <f>YEAR(W_カレンダー[[#This Row],[日付]])</f>
        <v>2023</v>
      </c>
      <c r="D23" s="1">
        <f>IF(W_カレンダー[[#This Row],[月]]&lt;=3,W_カレンダー[[#This Row],[暦年]]-1,W_カレンダー[[#This Row],[暦年]])</f>
        <v>2023</v>
      </c>
      <c r="E23" s="1" t="str">
        <f>IF(W_カレンダー[[#This Row],[月]]&lt;=3,"Q4",IF(W_カレンダー[[#This Row],[月]]&lt;=6,"Q1",IF(W_カレンダー[[#This Row],[月]]&lt;=9,"Q2","Q3")))</f>
        <v>Q1</v>
      </c>
    </row>
    <row r="24" spans="1:5" ht="18" customHeight="1" x14ac:dyDescent="0.25">
      <c r="A24" s="27">
        <v>45039</v>
      </c>
      <c r="B24" s="29">
        <f>MONTH(W_カレンダー[[#This Row],[日付]])</f>
        <v>4</v>
      </c>
      <c r="C24" s="1">
        <f>YEAR(W_カレンダー[[#This Row],[日付]])</f>
        <v>2023</v>
      </c>
      <c r="D24" s="1">
        <f>IF(W_カレンダー[[#This Row],[月]]&lt;=3,W_カレンダー[[#This Row],[暦年]]-1,W_カレンダー[[#This Row],[暦年]])</f>
        <v>2023</v>
      </c>
      <c r="E24" s="1" t="str">
        <f>IF(W_カレンダー[[#This Row],[月]]&lt;=3,"Q4",IF(W_カレンダー[[#This Row],[月]]&lt;=6,"Q1",IF(W_カレンダー[[#This Row],[月]]&lt;=9,"Q2","Q3")))</f>
        <v>Q1</v>
      </c>
    </row>
    <row r="25" spans="1:5" ht="18" customHeight="1" x14ac:dyDescent="0.25">
      <c r="A25" s="27">
        <v>45040</v>
      </c>
      <c r="B25" s="29">
        <f>MONTH(W_カレンダー[[#This Row],[日付]])</f>
        <v>4</v>
      </c>
      <c r="C25" s="1">
        <f>YEAR(W_カレンダー[[#This Row],[日付]])</f>
        <v>2023</v>
      </c>
      <c r="D25" s="1">
        <f>IF(W_カレンダー[[#This Row],[月]]&lt;=3,W_カレンダー[[#This Row],[暦年]]-1,W_カレンダー[[#This Row],[暦年]])</f>
        <v>2023</v>
      </c>
      <c r="E25" s="1" t="str">
        <f>IF(W_カレンダー[[#This Row],[月]]&lt;=3,"Q4",IF(W_カレンダー[[#This Row],[月]]&lt;=6,"Q1",IF(W_カレンダー[[#This Row],[月]]&lt;=9,"Q2","Q3")))</f>
        <v>Q1</v>
      </c>
    </row>
    <row r="26" spans="1:5" ht="18" customHeight="1" x14ac:dyDescent="0.25">
      <c r="A26" s="27">
        <v>45041</v>
      </c>
      <c r="B26" s="29">
        <f>MONTH(W_カレンダー[[#This Row],[日付]])</f>
        <v>4</v>
      </c>
      <c r="C26" s="1">
        <f>YEAR(W_カレンダー[[#This Row],[日付]])</f>
        <v>2023</v>
      </c>
      <c r="D26" s="1">
        <f>IF(W_カレンダー[[#This Row],[月]]&lt;=3,W_カレンダー[[#This Row],[暦年]]-1,W_カレンダー[[#This Row],[暦年]])</f>
        <v>2023</v>
      </c>
      <c r="E26" s="1" t="str">
        <f>IF(W_カレンダー[[#This Row],[月]]&lt;=3,"Q4",IF(W_カレンダー[[#This Row],[月]]&lt;=6,"Q1",IF(W_カレンダー[[#This Row],[月]]&lt;=9,"Q2","Q3")))</f>
        <v>Q1</v>
      </c>
    </row>
    <row r="27" spans="1:5" ht="18" customHeight="1" x14ac:dyDescent="0.25">
      <c r="A27" s="27">
        <v>45042</v>
      </c>
      <c r="B27" s="29">
        <f>MONTH(W_カレンダー[[#This Row],[日付]])</f>
        <v>4</v>
      </c>
      <c r="C27" s="1">
        <f>YEAR(W_カレンダー[[#This Row],[日付]])</f>
        <v>2023</v>
      </c>
      <c r="D27" s="1">
        <f>IF(W_カレンダー[[#This Row],[月]]&lt;=3,W_カレンダー[[#This Row],[暦年]]-1,W_カレンダー[[#This Row],[暦年]])</f>
        <v>2023</v>
      </c>
      <c r="E27" s="1" t="str">
        <f>IF(W_カレンダー[[#This Row],[月]]&lt;=3,"Q4",IF(W_カレンダー[[#This Row],[月]]&lt;=6,"Q1",IF(W_カレンダー[[#This Row],[月]]&lt;=9,"Q2","Q3")))</f>
        <v>Q1</v>
      </c>
    </row>
    <row r="28" spans="1:5" ht="18" customHeight="1" x14ac:dyDescent="0.25">
      <c r="A28" s="27">
        <v>45043</v>
      </c>
      <c r="B28" s="29">
        <f>MONTH(W_カレンダー[[#This Row],[日付]])</f>
        <v>4</v>
      </c>
      <c r="C28" s="1">
        <f>YEAR(W_カレンダー[[#This Row],[日付]])</f>
        <v>2023</v>
      </c>
      <c r="D28" s="1">
        <f>IF(W_カレンダー[[#This Row],[月]]&lt;=3,W_カレンダー[[#This Row],[暦年]]-1,W_カレンダー[[#This Row],[暦年]])</f>
        <v>2023</v>
      </c>
      <c r="E28" s="1" t="str">
        <f>IF(W_カレンダー[[#This Row],[月]]&lt;=3,"Q4",IF(W_カレンダー[[#This Row],[月]]&lt;=6,"Q1",IF(W_カレンダー[[#This Row],[月]]&lt;=9,"Q2","Q3")))</f>
        <v>Q1</v>
      </c>
    </row>
    <row r="29" spans="1:5" ht="18" customHeight="1" x14ac:dyDescent="0.25">
      <c r="A29" s="27">
        <v>45044</v>
      </c>
      <c r="B29" s="29">
        <f>MONTH(W_カレンダー[[#This Row],[日付]])</f>
        <v>4</v>
      </c>
      <c r="C29" s="1">
        <f>YEAR(W_カレンダー[[#This Row],[日付]])</f>
        <v>2023</v>
      </c>
      <c r="D29" s="1">
        <f>IF(W_カレンダー[[#This Row],[月]]&lt;=3,W_カレンダー[[#This Row],[暦年]]-1,W_カレンダー[[#This Row],[暦年]])</f>
        <v>2023</v>
      </c>
      <c r="E29" s="1" t="str">
        <f>IF(W_カレンダー[[#This Row],[月]]&lt;=3,"Q4",IF(W_カレンダー[[#This Row],[月]]&lt;=6,"Q1",IF(W_カレンダー[[#This Row],[月]]&lt;=9,"Q2","Q3")))</f>
        <v>Q1</v>
      </c>
    </row>
    <row r="30" spans="1:5" ht="18" customHeight="1" x14ac:dyDescent="0.25">
      <c r="A30" s="27">
        <v>45045</v>
      </c>
      <c r="B30" s="29">
        <f>MONTH(W_カレンダー[[#This Row],[日付]])</f>
        <v>4</v>
      </c>
      <c r="C30" s="1">
        <f>YEAR(W_カレンダー[[#This Row],[日付]])</f>
        <v>2023</v>
      </c>
      <c r="D30" s="1">
        <f>IF(W_カレンダー[[#This Row],[月]]&lt;=3,W_カレンダー[[#This Row],[暦年]]-1,W_カレンダー[[#This Row],[暦年]])</f>
        <v>2023</v>
      </c>
      <c r="E30" s="1" t="str">
        <f>IF(W_カレンダー[[#This Row],[月]]&lt;=3,"Q4",IF(W_カレンダー[[#This Row],[月]]&lt;=6,"Q1",IF(W_カレンダー[[#This Row],[月]]&lt;=9,"Q2","Q3")))</f>
        <v>Q1</v>
      </c>
    </row>
    <row r="31" spans="1:5" ht="18" customHeight="1" x14ac:dyDescent="0.25">
      <c r="A31" s="27">
        <v>45046</v>
      </c>
      <c r="B31" s="29">
        <f>MONTH(W_カレンダー[[#This Row],[日付]])</f>
        <v>4</v>
      </c>
      <c r="C31" s="1">
        <f>YEAR(W_カレンダー[[#This Row],[日付]])</f>
        <v>2023</v>
      </c>
      <c r="D31" s="1">
        <f>IF(W_カレンダー[[#This Row],[月]]&lt;=3,W_カレンダー[[#This Row],[暦年]]-1,W_カレンダー[[#This Row],[暦年]])</f>
        <v>2023</v>
      </c>
      <c r="E31" s="1" t="str">
        <f>IF(W_カレンダー[[#This Row],[月]]&lt;=3,"Q4",IF(W_カレンダー[[#This Row],[月]]&lt;=6,"Q1",IF(W_カレンダー[[#This Row],[月]]&lt;=9,"Q2","Q3")))</f>
        <v>Q1</v>
      </c>
    </row>
    <row r="32" spans="1:5" ht="18" customHeight="1" x14ac:dyDescent="0.25">
      <c r="A32" s="27">
        <v>45047</v>
      </c>
      <c r="B32" s="29">
        <f>MONTH(W_カレンダー[[#This Row],[日付]])</f>
        <v>5</v>
      </c>
      <c r="C32" s="1">
        <f>YEAR(W_カレンダー[[#This Row],[日付]])</f>
        <v>2023</v>
      </c>
      <c r="D32" s="1">
        <f>IF(W_カレンダー[[#This Row],[月]]&lt;=3,W_カレンダー[[#This Row],[暦年]]-1,W_カレンダー[[#This Row],[暦年]])</f>
        <v>2023</v>
      </c>
      <c r="E32" s="1" t="str">
        <f>IF(W_カレンダー[[#This Row],[月]]&lt;=3,"Q4",IF(W_カレンダー[[#This Row],[月]]&lt;=6,"Q1",IF(W_カレンダー[[#This Row],[月]]&lt;=9,"Q2","Q3")))</f>
        <v>Q1</v>
      </c>
    </row>
    <row r="33" spans="1:5" ht="18" customHeight="1" x14ac:dyDescent="0.25">
      <c r="A33" s="27">
        <v>45048</v>
      </c>
      <c r="B33" s="29">
        <f>MONTH(W_カレンダー[[#This Row],[日付]])</f>
        <v>5</v>
      </c>
      <c r="C33" s="1">
        <f>YEAR(W_カレンダー[[#This Row],[日付]])</f>
        <v>2023</v>
      </c>
      <c r="D33" s="1">
        <f>IF(W_カレンダー[[#This Row],[月]]&lt;=3,W_カレンダー[[#This Row],[暦年]]-1,W_カレンダー[[#This Row],[暦年]])</f>
        <v>2023</v>
      </c>
      <c r="E33" s="1" t="str">
        <f>IF(W_カレンダー[[#This Row],[月]]&lt;=3,"Q4",IF(W_カレンダー[[#This Row],[月]]&lt;=6,"Q1",IF(W_カレンダー[[#This Row],[月]]&lt;=9,"Q2","Q3")))</f>
        <v>Q1</v>
      </c>
    </row>
    <row r="34" spans="1:5" ht="18" customHeight="1" x14ac:dyDescent="0.25">
      <c r="A34" s="27">
        <v>45049</v>
      </c>
      <c r="B34" s="29">
        <f>MONTH(W_カレンダー[[#This Row],[日付]])</f>
        <v>5</v>
      </c>
      <c r="C34" s="1">
        <f>YEAR(W_カレンダー[[#This Row],[日付]])</f>
        <v>2023</v>
      </c>
      <c r="D34" s="1">
        <f>IF(W_カレンダー[[#This Row],[月]]&lt;=3,W_カレンダー[[#This Row],[暦年]]-1,W_カレンダー[[#This Row],[暦年]])</f>
        <v>2023</v>
      </c>
      <c r="E34" s="1" t="str">
        <f>IF(W_カレンダー[[#This Row],[月]]&lt;=3,"Q4",IF(W_カレンダー[[#This Row],[月]]&lt;=6,"Q1",IF(W_カレンダー[[#This Row],[月]]&lt;=9,"Q2","Q3")))</f>
        <v>Q1</v>
      </c>
    </row>
    <row r="35" spans="1:5" ht="18" customHeight="1" x14ac:dyDescent="0.25">
      <c r="A35" s="27">
        <v>45050</v>
      </c>
      <c r="B35" s="29">
        <f>MONTH(W_カレンダー[[#This Row],[日付]])</f>
        <v>5</v>
      </c>
      <c r="C35" s="1">
        <f>YEAR(W_カレンダー[[#This Row],[日付]])</f>
        <v>2023</v>
      </c>
      <c r="D35" s="1">
        <f>IF(W_カレンダー[[#This Row],[月]]&lt;=3,W_カレンダー[[#This Row],[暦年]]-1,W_カレンダー[[#This Row],[暦年]])</f>
        <v>2023</v>
      </c>
      <c r="E35" s="1" t="str">
        <f>IF(W_カレンダー[[#This Row],[月]]&lt;=3,"Q4",IF(W_カレンダー[[#This Row],[月]]&lt;=6,"Q1",IF(W_カレンダー[[#This Row],[月]]&lt;=9,"Q2","Q3")))</f>
        <v>Q1</v>
      </c>
    </row>
    <row r="36" spans="1:5" ht="18" customHeight="1" x14ac:dyDescent="0.25">
      <c r="A36" s="27">
        <v>45051</v>
      </c>
      <c r="B36" s="29">
        <f>MONTH(W_カレンダー[[#This Row],[日付]])</f>
        <v>5</v>
      </c>
      <c r="C36" s="1">
        <f>YEAR(W_カレンダー[[#This Row],[日付]])</f>
        <v>2023</v>
      </c>
      <c r="D36" s="1">
        <f>IF(W_カレンダー[[#This Row],[月]]&lt;=3,W_カレンダー[[#This Row],[暦年]]-1,W_カレンダー[[#This Row],[暦年]])</f>
        <v>2023</v>
      </c>
      <c r="E36" s="1" t="str">
        <f>IF(W_カレンダー[[#This Row],[月]]&lt;=3,"Q4",IF(W_カレンダー[[#This Row],[月]]&lt;=6,"Q1",IF(W_カレンダー[[#This Row],[月]]&lt;=9,"Q2","Q3")))</f>
        <v>Q1</v>
      </c>
    </row>
    <row r="37" spans="1:5" ht="18" customHeight="1" x14ac:dyDescent="0.25">
      <c r="A37" s="27">
        <v>45052</v>
      </c>
      <c r="B37" s="29">
        <f>MONTH(W_カレンダー[[#This Row],[日付]])</f>
        <v>5</v>
      </c>
      <c r="C37" s="1">
        <f>YEAR(W_カレンダー[[#This Row],[日付]])</f>
        <v>2023</v>
      </c>
      <c r="D37" s="1">
        <f>IF(W_カレンダー[[#This Row],[月]]&lt;=3,W_カレンダー[[#This Row],[暦年]]-1,W_カレンダー[[#This Row],[暦年]])</f>
        <v>2023</v>
      </c>
      <c r="E37" s="1" t="str">
        <f>IF(W_カレンダー[[#This Row],[月]]&lt;=3,"Q4",IF(W_カレンダー[[#This Row],[月]]&lt;=6,"Q1",IF(W_カレンダー[[#This Row],[月]]&lt;=9,"Q2","Q3")))</f>
        <v>Q1</v>
      </c>
    </row>
    <row r="38" spans="1:5" ht="18" customHeight="1" x14ac:dyDescent="0.25">
      <c r="A38" s="27">
        <v>45053</v>
      </c>
      <c r="B38" s="29">
        <f>MONTH(W_カレンダー[[#This Row],[日付]])</f>
        <v>5</v>
      </c>
      <c r="C38" s="1">
        <f>YEAR(W_カレンダー[[#This Row],[日付]])</f>
        <v>2023</v>
      </c>
      <c r="D38" s="1">
        <f>IF(W_カレンダー[[#This Row],[月]]&lt;=3,W_カレンダー[[#This Row],[暦年]]-1,W_カレンダー[[#This Row],[暦年]])</f>
        <v>2023</v>
      </c>
      <c r="E38" s="1" t="str">
        <f>IF(W_カレンダー[[#This Row],[月]]&lt;=3,"Q4",IF(W_カレンダー[[#This Row],[月]]&lt;=6,"Q1",IF(W_カレンダー[[#This Row],[月]]&lt;=9,"Q2","Q3")))</f>
        <v>Q1</v>
      </c>
    </row>
    <row r="39" spans="1:5" ht="18" customHeight="1" x14ac:dyDescent="0.25">
      <c r="A39" s="27">
        <v>45054</v>
      </c>
      <c r="B39" s="29">
        <f>MONTH(W_カレンダー[[#This Row],[日付]])</f>
        <v>5</v>
      </c>
      <c r="C39" s="1">
        <f>YEAR(W_カレンダー[[#This Row],[日付]])</f>
        <v>2023</v>
      </c>
      <c r="D39" s="1">
        <f>IF(W_カレンダー[[#This Row],[月]]&lt;=3,W_カレンダー[[#This Row],[暦年]]-1,W_カレンダー[[#This Row],[暦年]])</f>
        <v>2023</v>
      </c>
      <c r="E39" s="1" t="str">
        <f>IF(W_カレンダー[[#This Row],[月]]&lt;=3,"Q4",IF(W_カレンダー[[#This Row],[月]]&lt;=6,"Q1",IF(W_カレンダー[[#This Row],[月]]&lt;=9,"Q2","Q3")))</f>
        <v>Q1</v>
      </c>
    </row>
    <row r="40" spans="1:5" ht="18" customHeight="1" x14ac:dyDescent="0.25">
      <c r="A40" s="27">
        <v>45055</v>
      </c>
      <c r="B40" s="29">
        <f>MONTH(W_カレンダー[[#This Row],[日付]])</f>
        <v>5</v>
      </c>
      <c r="C40" s="1">
        <f>YEAR(W_カレンダー[[#This Row],[日付]])</f>
        <v>2023</v>
      </c>
      <c r="D40" s="1">
        <f>IF(W_カレンダー[[#This Row],[月]]&lt;=3,W_カレンダー[[#This Row],[暦年]]-1,W_カレンダー[[#This Row],[暦年]])</f>
        <v>2023</v>
      </c>
      <c r="E40" s="1" t="str">
        <f>IF(W_カレンダー[[#This Row],[月]]&lt;=3,"Q4",IF(W_カレンダー[[#This Row],[月]]&lt;=6,"Q1",IF(W_カレンダー[[#This Row],[月]]&lt;=9,"Q2","Q3")))</f>
        <v>Q1</v>
      </c>
    </row>
    <row r="41" spans="1:5" ht="18" customHeight="1" x14ac:dyDescent="0.25">
      <c r="A41" s="27">
        <v>45056</v>
      </c>
      <c r="B41" s="29">
        <f>MONTH(W_カレンダー[[#This Row],[日付]])</f>
        <v>5</v>
      </c>
      <c r="C41" s="1">
        <f>YEAR(W_カレンダー[[#This Row],[日付]])</f>
        <v>2023</v>
      </c>
      <c r="D41" s="1">
        <f>IF(W_カレンダー[[#This Row],[月]]&lt;=3,W_カレンダー[[#This Row],[暦年]]-1,W_カレンダー[[#This Row],[暦年]])</f>
        <v>2023</v>
      </c>
      <c r="E41" s="1" t="str">
        <f>IF(W_カレンダー[[#This Row],[月]]&lt;=3,"Q4",IF(W_カレンダー[[#This Row],[月]]&lt;=6,"Q1",IF(W_カレンダー[[#This Row],[月]]&lt;=9,"Q2","Q3")))</f>
        <v>Q1</v>
      </c>
    </row>
    <row r="42" spans="1:5" ht="18" customHeight="1" x14ac:dyDescent="0.25">
      <c r="A42" s="27">
        <v>45057</v>
      </c>
      <c r="B42" s="29">
        <f>MONTH(W_カレンダー[[#This Row],[日付]])</f>
        <v>5</v>
      </c>
      <c r="C42" s="1">
        <f>YEAR(W_カレンダー[[#This Row],[日付]])</f>
        <v>2023</v>
      </c>
      <c r="D42" s="1">
        <f>IF(W_カレンダー[[#This Row],[月]]&lt;=3,W_カレンダー[[#This Row],[暦年]]-1,W_カレンダー[[#This Row],[暦年]])</f>
        <v>2023</v>
      </c>
      <c r="E42" s="1" t="str">
        <f>IF(W_カレンダー[[#This Row],[月]]&lt;=3,"Q4",IF(W_カレンダー[[#This Row],[月]]&lt;=6,"Q1",IF(W_カレンダー[[#This Row],[月]]&lt;=9,"Q2","Q3")))</f>
        <v>Q1</v>
      </c>
    </row>
    <row r="43" spans="1:5" ht="18" customHeight="1" x14ac:dyDescent="0.25">
      <c r="A43" s="27">
        <v>45058</v>
      </c>
      <c r="B43" s="29">
        <f>MONTH(W_カレンダー[[#This Row],[日付]])</f>
        <v>5</v>
      </c>
      <c r="C43" s="1">
        <f>YEAR(W_カレンダー[[#This Row],[日付]])</f>
        <v>2023</v>
      </c>
      <c r="D43" s="1">
        <f>IF(W_カレンダー[[#This Row],[月]]&lt;=3,W_カレンダー[[#This Row],[暦年]]-1,W_カレンダー[[#This Row],[暦年]])</f>
        <v>2023</v>
      </c>
      <c r="E43" s="1" t="str">
        <f>IF(W_カレンダー[[#This Row],[月]]&lt;=3,"Q4",IF(W_カレンダー[[#This Row],[月]]&lt;=6,"Q1",IF(W_カレンダー[[#This Row],[月]]&lt;=9,"Q2","Q3")))</f>
        <v>Q1</v>
      </c>
    </row>
    <row r="44" spans="1:5" ht="18" customHeight="1" x14ac:dyDescent="0.25">
      <c r="A44" s="27">
        <v>45059</v>
      </c>
      <c r="B44" s="29">
        <f>MONTH(W_カレンダー[[#This Row],[日付]])</f>
        <v>5</v>
      </c>
      <c r="C44" s="1">
        <f>YEAR(W_カレンダー[[#This Row],[日付]])</f>
        <v>2023</v>
      </c>
      <c r="D44" s="1">
        <f>IF(W_カレンダー[[#This Row],[月]]&lt;=3,W_カレンダー[[#This Row],[暦年]]-1,W_カレンダー[[#This Row],[暦年]])</f>
        <v>2023</v>
      </c>
      <c r="E44" s="1" t="str">
        <f>IF(W_カレンダー[[#This Row],[月]]&lt;=3,"Q4",IF(W_カレンダー[[#This Row],[月]]&lt;=6,"Q1",IF(W_カレンダー[[#This Row],[月]]&lt;=9,"Q2","Q3")))</f>
        <v>Q1</v>
      </c>
    </row>
    <row r="45" spans="1:5" ht="18" customHeight="1" x14ac:dyDescent="0.25">
      <c r="A45" s="27">
        <v>45060</v>
      </c>
      <c r="B45" s="29">
        <f>MONTH(W_カレンダー[[#This Row],[日付]])</f>
        <v>5</v>
      </c>
      <c r="C45" s="1">
        <f>YEAR(W_カレンダー[[#This Row],[日付]])</f>
        <v>2023</v>
      </c>
      <c r="D45" s="1">
        <f>IF(W_カレンダー[[#This Row],[月]]&lt;=3,W_カレンダー[[#This Row],[暦年]]-1,W_カレンダー[[#This Row],[暦年]])</f>
        <v>2023</v>
      </c>
      <c r="E45" s="1" t="str">
        <f>IF(W_カレンダー[[#This Row],[月]]&lt;=3,"Q4",IF(W_カレンダー[[#This Row],[月]]&lt;=6,"Q1",IF(W_カレンダー[[#This Row],[月]]&lt;=9,"Q2","Q3")))</f>
        <v>Q1</v>
      </c>
    </row>
    <row r="46" spans="1:5" ht="18" customHeight="1" x14ac:dyDescent="0.25">
      <c r="A46" s="27">
        <v>45061</v>
      </c>
      <c r="B46" s="29">
        <f>MONTH(W_カレンダー[[#This Row],[日付]])</f>
        <v>5</v>
      </c>
      <c r="C46" s="1">
        <f>YEAR(W_カレンダー[[#This Row],[日付]])</f>
        <v>2023</v>
      </c>
      <c r="D46" s="1">
        <f>IF(W_カレンダー[[#This Row],[月]]&lt;=3,W_カレンダー[[#This Row],[暦年]]-1,W_カレンダー[[#This Row],[暦年]])</f>
        <v>2023</v>
      </c>
      <c r="E46" s="1" t="str">
        <f>IF(W_カレンダー[[#This Row],[月]]&lt;=3,"Q4",IF(W_カレンダー[[#This Row],[月]]&lt;=6,"Q1",IF(W_カレンダー[[#This Row],[月]]&lt;=9,"Q2","Q3")))</f>
        <v>Q1</v>
      </c>
    </row>
    <row r="47" spans="1:5" ht="18" customHeight="1" x14ac:dyDescent="0.25">
      <c r="A47" s="27">
        <v>45062</v>
      </c>
      <c r="B47" s="29">
        <f>MONTH(W_カレンダー[[#This Row],[日付]])</f>
        <v>5</v>
      </c>
      <c r="C47" s="1">
        <f>YEAR(W_カレンダー[[#This Row],[日付]])</f>
        <v>2023</v>
      </c>
      <c r="D47" s="1">
        <f>IF(W_カレンダー[[#This Row],[月]]&lt;=3,W_カレンダー[[#This Row],[暦年]]-1,W_カレンダー[[#This Row],[暦年]])</f>
        <v>2023</v>
      </c>
      <c r="E47" s="1" t="str">
        <f>IF(W_カレンダー[[#This Row],[月]]&lt;=3,"Q4",IF(W_カレンダー[[#This Row],[月]]&lt;=6,"Q1",IF(W_カレンダー[[#This Row],[月]]&lt;=9,"Q2","Q3")))</f>
        <v>Q1</v>
      </c>
    </row>
    <row r="48" spans="1:5" ht="18" customHeight="1" x14ac:dyDescent="0.25">
      <c r="A48" s="27">
        <v>45063</v>
      </c>
      <c r="B48" s="29">
        <f>MONTH(W_カレンダー[[#This Row],[日付]])</f>
        <v>5</v>
      </c>
      <c r="C48" s="1">
        <f>YEAR(W_カレンダー[[#This Row],[日付]])</f>
        <v>2023</v>
      </c>
      <c r="D48" s="1">
        <f>IF(W_カレンダー[[#This Row],[月]]&lt;=3,W_カレンダー[[#This Row],[暦年]]-1,W_カレンダー[[#This Row],[暦年]])</f>
        <v>2023</v>
      </c>
      <c r="E48" s="1" t="str">
        <f>IF(W_カレンダー[[#This Row],[月]]&lt;=3,"Q4",IF(W_カレンダー[[#This Row],[月]]&lt;=6,"Q1",IF(W_カレンダー[[#This Row],[月]]&lt;=9,"Q2","Q3")))</f>
        <v>Q1</v>
      </c>
    </row>
    <row r="49" spans="1:5" ht="18" customHeight="1" x14ac:dyDescent="0.25">
      <c r="A49" s="27">
        <v>45064</v>
      </c>
      <c r="B49" s="29">
        <f>MONTH(W_カレンダー[[#This Row],[日付]])</f>
        <v>5</v>
      </c>
      <c r="C49" s="1">
        <f>YEAR(W_カレンダー[[#This Row],[日付]])</f>
        <v>2023</v>
      </c>
      <c r="D49" s="1">
        <f>IF(W_カレンダー[[#This Row],[月]]&lt;=3,W_カレンダー[[#This Row],[暦年]]-1,W_カレンダー[[#This Row],[暦年]])</f>
        <v>2023</v>
      </c>
      <c r="E49" s="1" t="str">
        <f>IF(W_カレンダー[[#This Row],[月]]&lt;=3,"Q4",IF(W_カレンダー[[#This Row],[月]]&lt;=6,"Q1",IF(W_カレンダー[[#This Row],[月]]&lt;=9,"Q2","Q3")))</f>
        <v>Q1</v>
      </c>
    </row>
    <row r="50" spans="1:5" ht="18" customHeight="1" x14ac:dyDescent="0.25">
      <c r="A50" s="27">
        <v>45065</v>
      </c>
      <c r="B50" s="29">
        <f>MONTH(W_カレンダー[[#This Row],[日付]])</f>
        <v>5</v>
      </c>
      <c r="C50" s="1">
        <f>YEAR(W_カレンダー[[#This Row],[日付]])</f>
        <v>2023</v>
      </c>
      <c r="D50" s="1">
        <f>IF(W_カレンダー[[#This Row],[月]]&lt;=3,W_カレンダー[[#This Row],[暦年]]-1,W_カレンダー[[#This Row],[暦年]])</f>
        <v>2023</v>
      </c>
      <c r="E50" s="1" t="str">
        <f>IF(W_カレンダー[[#This Row],[月]]&lt;=3,"Q4",IF(W_カレンダー[[#This Row],[月]]&lt;=6,"Q1",IF(W_カレンダー[[#This Row],[月]]&lt;=9,"Q2","Q3")))</f>
        <v>Q1</v>
      </c>
    </row>
    <row r="51" spans="1:5" ht="18" customHeight="1" x14ac:dyDescent="0.25">
      <c r="A51" s="27">
        <v>45066</v>
      </c>
      <c r="B51" s="29">
        <f>MONTH(W_カレンダー[[#This Row],[日付]])</f>
        <v>5</v>
      </c>
      <c r="C51" s="1">
        <f>YEAR(W_カレンダー[[#This Row],[日付]])</f>
        <v>2023</v>
      </c>
      <c r="D51" s="1">
        <f>IF(W_カレンダー[[#This Row],[月]]&lt;=3,W_カレンダー[[#This Row],[暦年]]-1,W_カレンダー[[#This Row],[暦年]])</f>
        <v>2023</v>
      </c>
      <c r="E51" s="1" t="str">
        <f>IF(W_カレンダー[[#This Row],[月]]&lt;=3,"Q4",IF(W_カレンダー[[#This Row],[月]]&lt;=6,"Q1",IF(W_カレンダー[[#This Row],[月]]&lt;=9,"Q2","Q3")))</f>
        <v>Q1</v>
      </c>
    </row>
    <row r="52" spans="1:5" ht="18" customHeight="1" x14ac:dyDescent="0.25">
      <c r="A52" s="27">
        <v>45067</v>
      </c>
      <c r="B52" s="29">
        <f>MONTH(W_カレンダー[[#This Row],[日付]])</f>
        <v>5</v>
      </c>
      <c r="C52" s="1">
        <f>YEAR(W_カレンダー[[#This Row],[日付]])</f>
        <v>2023</v>
      </c>
      <c r="D52" s="1">
        <f>IF(W_カレンダー[[#This Row],[月]]&lt;=3,W_カレンダー[[#This Row],[暦年]]-1,W_カレンダー[[#This Row],[暦年]])</f>
        <v>2023</v>
      </c>
      <c r="E52" s="1" t="str">
        <f>IF(W_カレンダー[[#This Row],[月]]&lt;=3,"Q4",IF(W_カレンダー[[#This Row],[月]]&lt;=6,"Q1",IF(W_カレンダー[[#This Row],[月]]&lt;=9,"Q2","Q3")))</f>
        <v>Q1</v>
      </c>
    </row>
    <row r="53" spans="1:5" ht="18" customHeight="1" x14ac:dyDescent="0.25">
      <c r="A53" s="27">
        <v>45068</v>
      </c>
      <c r="B53" s="29">
        <f>MONTH(W_カレンダー[[#This Row],[日付]])</f>
        <v>5</v>
      </c>
      <c r="C53" s="1">
        <f>YEAR(W_カレンダー[[#This Row],[日付]])</f>
        <v>2023</v>
      </c>
      <c r="D53" s="1">
        <f>IF(W_カレンダー[[#This Row],[月]]&lt;=3,W_カレンダー[[#This Row],[暦年]]-1,W_カレンダー[[#This Row],[暦年]])</f>
        <v>2023</v>
      </c>
      <c r="E53" s="1" t="str">
        <f>IF(W_カレンダー[[#This Row],[月]]&lt;=3,"Q4",IF(W_カレンダー[[#This Row],[月]]&lt;=6,"Q1",IF(W_カレンダー[[#This Row],[月]]&lt;=9,"Q2","Q3")))</f>
        <v>Q1</v>
      </c>
    </row>
    <row r="54" spans="1:5" ht="18" customHeight="1" x14ac:dyDescent="0.25">
      <c r="A54" s="27">
        <v>45069</v>
      </c>
      <c r="B54" s="29">
        <f>MONTH(W_カレンダー[[#This Row],[日付]])</f>
        <v>5</v>
      </c>
      <c r="C54" s="1">
        <f>YEAR(W_カレンダー[[#This Row],[日付]])</f>
        <v>2023</v>
      </c>
      <c r="D54" s="1">
        <f>IF(W_カレンダー[[#This Row],[月]]&lt;=3,W_カレンダー[[#This Row],[暦年]]-1,W_カレンダー[[#This Row],[暦年]])</f>
        <v>2023</v>
      </c>
      <c r="E54" s="1" t="str">
        <f>IF(W_カレンダー[[#This Row],[月]]&lt;=3,"Q4",IF(W_カレンダー[[#This Row],[月]]&lt;=6,"Q1",IF(W_カレンダー[[#This Row],[月]]&lt;=9,"Q2","Q3")))</f>
        <v>Q1</v>
      </c>
    </row>
    <row r="55" spans="1:5" ht="18" customHeight="1" x14ac:dyDescent="0.25">
      <c r="A55" s="27">
        <v>45070</v>
      </c>
      <c r="B55" s="29">
        <f>MONTH(W_カレンダー[[#This Row],[日付]])</f>
        <v>5</v>
      </c>
      <c r="C55" s="1">
        <f>YEAR(W_カレンダー[[#This Row],[日付]])</f>
        <v>2023</v>
      </c>
      <c r="D55" s="1">
        <f>IF(W_カレンダー[[#This Row],[月]]&lt;=3,W_カレンダー[[#This Row],[暦年]]-1,W_カレンダー[[#This Row],[暦年]])</f>
        <v>2023</v>
      </c>
      <c r="E55" s="1" t="str">
        <f>IF(W_カレンダー[[#This Row],[月]]&lt;=3,"Q4",IF(W_カレンダー[[#This Row],[月]]&lt;=6,"Q1",IF(W_カレンダー[[#This Row],[月]]&lt;=9,"Q2","Q3")))</f>
        <v>Q1</v>
      </c>
    </row>
    <row r="56" spans="1:5" ht="18" customHeight="1" x14ac:dyDescent="0.25">
      <c r="A56" s="27">
        <v>45071</v>
      </c>
      <c r="B56" s="29">
        <f>MONTH(W_カレンダー[[#This Row],[日付]])</f>
        <v>5</v>
      </c>
      <c r="C56" s="1">
        <f>YEAR(W_カレンダー[[#This Row],[日付]])</f>
        <v>2023</v>
      </c>
      <c r="D56" s="1">
        <f>IF(W_カレンダー[[#This Row],[月]]&lt;=3,W_カレンダー[[#This Row],[暦年]]-1,W_カレンダー[[#This Row],[暦年]])</f>
        <v>2023</v>
      </c>
      <c r="E56" s="1" t="str">
        <f>IF(W_カレンダー[[#This Row],[月]]&lt;=3,"Q4",IF(W_カレンダー[[#This Row],[月]]&lt;=6,"Q1",IF(W_カレンダー[[#This Row],[月]]&lt;=9,"Q2","Q3")))</f>
        <v>Q1</v>
      </c>
    </row>
    <row r="57" spans="1:5" ht="18" customHeight="1" x14ac:dyDescent="0.25">
      <c r="A57" s="27">
        <v>45072</v>
      </c>
      <c r="B57" s="29">
        <f>MONTH(W_カレンダー[[#This Row],[日付]])</f>
        <v>5</v>
      </c>
      <c r="C57" s="1">
        <f>YEAR(W_カレンダー[[#This Row],[日付]])</f>
        <v>2023</v>
      </c>
      <c r="D57" s="1">
        <f>IF(W_カレンダー[[#This Row],[月]]&lt;=3,W_カレンダー[[#This Row],[暦年]]-1,W_カレンダー[[#This Row],[暦年]])</f>
        <v>2023</v>
      </c>
      <c r="E57" s="1" t="str">
        <f>IF(W_カレンダー[[#This Row],[月]]&lt;=3,"Q4",IF(W_カレンダー[[#This Row],[月]]&lt;=6,"Q1",IF(W_カレンダー[[#This Row],[月]]&lt;=9,"Q2","Q3")))</f>
        <v>Q1</v>
      </c>
    </row>
    <row r="58" spans="1:5" ht="18" customHeight="1" x14ac:dyDescent="0.25">
      <c r="A58" s="27">
        <v>45073</v>
      </c>
      <c r="B58" s="29">
        <f>MONTH(W_カレンダー[[#This Row],[日付]])</f>
        <v>5</v>
      </c>
      <c r="C58" s="1">
        <f>YEAR(W_カレンダー[[#This Row],[日付]])</f>
        <v>2023</v>
      </c>
      <c r="D58" s="1">
        <f>IF(W_カレンダー[[#This Row],[月]]&lt;=3,W_カレンダー[[#This Row],[暦年]]-1,W_カレンダー[[#This Row],[暦年]])</f>
        <v>2023</v>
      </c>
      <c r="E58" s="1" t="str">
        <f>IF(W_カレンダー[[#This Row],[月]]&lt;=3,"Q4",IF(W_カレンダー[[#This Row],[月]]&lt;=6,"Q1",IF(W_カレンダー[[#This Row],[月]]&lt;=9,"Q2","Q3")))</f>
        <v>Q1</v>
      </c>
    </row>
    <row r="59" spans="1:5" ht="18" customHeight="1" x14ac:dyDescent="0.25">
      <c r="A59" s="27">
        <v>45074</v>
      </c>
      <c r="B59" s="29">
        <f>MONTH(W_カレンダー[[#This Row],[日付]])</f>
        <v>5</v>
      </c>
      <c r="C59" s="1">
        <f>YEAR(W_カレンダー[[#This Row],[日付]])</f>
        <v>2023</v>
      </c>
      <c r="D59" s="1">
        <f>IF(W_カレンダー[[#This Row],[月]]&lt;=3,W_カレンダー[[#This Row],[暦年]]-1,W_カレンダー[[#This Row],[暦年]])</f>
        <v>2023</v>
      </c>
      <c r="E59" s="1" t="str">
        <f>IF(W_カレンダー[[#This Row],[月]]&lt;=3,"Q4",IF(W_カレンダー[[#This Row],[月]]&lt;=6,"Q1",IF(W_カレンダー[[#This Row],[月]]&lt;=9,"Q2","Q3")))</f>
        <v>Q1</v>
      </c>
    </row>
    <row r="60" spans="1:5" ht="18" customHeight="1" x14ac:dyDescent="0.25">
      <c r="A60" s="27">
        <v>45075</v>
      </c>
      <c r="B60" s="29">
        <f>MONTH(W_カレンダー[[#This Row],[日付]])</f>
        <v>5</v>
      </c>
      <c r="C60" s="1">
        <f>YEAR(W_カレンダー[[#This Row],[日付]])</f>
        <v>2023</v>
      </c>
      <c r="D60" s="1">
        <f>IF(W_カレンダー[[#This Row],[月]]&lt;=3,W_カレンダー[[#This Row],[暦年]]-1,W_カレンダー[[#This Row],[暦年]])</f>
        <v>2023</v>
      </c>
      <c r="E60" s="1" t="str">
        <f>IF(W_カレンダー[[#This Row],[月]]&lt;=3,"Q4",IF(W_カレンダー[[#This Row],[月]]&lt;=6,"Q1",IF(W_カレンダー[[#This Row],[月]]&lt;=9,"Q2","Q3")))</f>
        <v>Q1</v>
      </c>
    </row>
    <row r="61" spans="1:5" ht="18" customHeight="1" x14ac:dyDescent="0.25">
      <c r="A61" s="27">
        <v>45076</v>
      </c>
      <c r="B61" s="29">
        <f>MONTH(W_カレンダー[[#This Row],[日付]])</f>
        <v>5</v>
      </c>
      <c r="C61" s="1">
        <f>YEAR(W_カレンダー[[#This Row],[日付]])</f>
        <v>2023</v>
      </c>
      <c r="D61" s="1">
        <f>IF(W_カレンダー[[#This Row],[月]]&lt;=3,W_カレンダー[[#This Row],[暦年]]-1,W_カレンダー[[#This Row],[暦年]])</f>
        <v>2023</v>
      </c>
      <c r="E61" s="1" t="str">
        <f>IF(W_カレンダー[[#This Row],[月]]&lt;=3,"Q4",IF(W_カレンダー[[#This Row],[月]]&lt;=6,"Q1",IF(W_カレンダー[[#This Row],[月]]&lt;=9,"Q2","Q3")))</f>
        <v>Q1</v>
      </c>
    </row>
    <row r="62" spans="1:5" ht="18" customHeight="1" x14ac:dyDescent="0.25">
      <c r="A62" s="27">
        <v>45077</v>
      </c>
      <c r="B62" s="29">
        <f>MONTH(W_カレンダー[[#This Row],[日付]])</f>
        <v>5</v>
      </c>
      <c r="C62" s="1">
        <f>YEAR(W_カレンダー[[#This Row],[日付]])</f>
        <v>2023</v>
      </c>
      <c r="D62" s="1">
        <f>IF(W_カレンダー[[#This Row],[月]]&lt;=3,W_カレンダー[[#This Row],[暦年]]-1,W_カレンダー[[#This Row],[暦年]])</f>
        <v>2023</v>
      </c>
      <c r="E62" s="1" t="str">
        <f>IF(W_カレンダー[[#This Row],[月]]&lt;=3,"Q4",IF(W_カレンダー[[#This Row],[月]]&lt;=6,"Q1",IF(W_カレンダー[[#This Row],[月]]&lt;=9,"Q2","Q3")))</f>
        <v>Q1</v>
      </c>
    </row>
    <row r="63" spans="1:5" ht="18" customHeight="1" x14ac:dyDescent="0.25">
      <c r="A63" s="27">
        <v>45078</v>
      </c>
      <c r="B63" s="29">
        <f>MONTH(W_カレンダー[[#This Row],[日付]])</f>
        <v>6</v>
      </c>
      <c r="C63" s="1">
        <f>YEAR(W_カレンダー[[#This Row],[日付]])</f>
        <v>2023</v>
      </c>
      <c r="D63" s="1">
        <f>IF(W_カレンダー[[#This Row],[月]]&lt;=3,W_カレンダー[[#This Row],[暦年]]-1,W_カレンダー[[#This Row],[暦年]])</f>
        <v>2023</v>
      </c>
      <c r="E63" s="1" t="str">
        <f>IF(W_カレンダー[[#This Row],[月]]&lt;=3,"Q4",IF(W_カレンダー[[#This Row],[月]]&lt;=6,"Q1",IF(W_カレンダー[[#This Row],[月]]&lt;=9,"Q2","Q3")))</f>
        <v>Q1</v>
      </c>
    </row>
    <row r="64" spans="1:5" ht="18" customHeight="1" x14ac:dyDescent="0.25">
      <c r="A64" s="27">
        <v>45079</v>
      </c>
      <c r="B64" s="29">
        <f>MONTH(W_カレンダー[[#This Row],[日付]])</f>
        <v>6</v>
      </c>
      <c r="C64" s="1">
        <f>YEAR(W_カレンダー[[#This Row],[日付]])</f>
        <v>2023</v>
      </c>
      <c r="D64" s="1">
        <f>IF(W_カレンダー[[#This Row],[月]]&lt;=3,W_カレンダー[[#This Row],[暦年]]-1,W_カレンダー[[#This Row],[暦年]])</f>
        <v>2023</v>
      </c>
      <c r="E64" s="1" t="str">
        <f>IF(W_カレンダー[[#This Row],[月]]&lt;=3,"Q4",IF(W_カレンダー[[#This Row],[月]]&lt;=6,"Q1",IF(W_カレンダー[[#This Row],[月]]&lt;=9,"Q2","Q3")))</f>
        <v>Q1</v>
      </c>
    </row>
    <row r="65" spans="1:5" ht="18" customHeight="1" x14ac:dyDescent="0.25">
      <c r="A65" s="27">
        <v>45080</v>
      </c>
      <c r="B65" s="29">
        <f>MONTH(W_カレンダー[[#This Row],[日付]])</f>
        <v>6</v>
      </c>
      <c r="C65" s="1">
        <f>YEAR(W_カレンダー[[#This Row],[日付]])</f>
        <v>2023</v>
      </c>
      <c r="D65" s="1">
        <f>IF(W_カレンダー[[#This Row],[月]]&lt;=3,W_カレンダー[[#This Row],[暦年]]-1,W_カレンダー[[#This Row],[暦年]])</f>
        <v>2023</v>
      </c>
      <c r="E65" s="1" t="str">
        <f>IF(W_カレンダー[[#This Row],[月]]&lt;=3,"Q4",IF(W_カレンダー[[#This Row],[月]]&lt;=6,"Q1",IF(W_カレンダー[[#This Row],[月]]&lt;=9,"Q2","Q3")))</f>
        <v>Q1</v>
      </c>
    </row>
    <row r="66" spans="1:5" ht="18" customHeight="1" x14ac:dyDescent="0.25">
      <c r="A66" s="27">
        <v>45081</v>
      </c>
      <c r="B66" s="29">
        <f>MONTH(W_カレンダー[[#This Row],[日付]])</f>
        <v>6</v>
      </c>
      <c r="C66" s="1">
        <f>YEAR(W_カレンダー[[#This Row],[日付]])</f>
        <v>2023</v>
      </c>
      <c r="D66" s="1">
        <f>IF(W_カレンダー[[#This Row],[月]]&lt;=3,W_カレンダー[[#This Row],[暦年]]-1,W_カレンダー[[#This Row],[暦年]])</f>
        <v>2023</v>
      </c>
      <c r="E66" s="1" t="str">
        <f>IF(W_カレンダー[[#This Row],[月]]&lt;=3,"Q4",IF(W_カレンダー[[#This Row],[月]]&lt;=6,"Q1",IF(W_カレンダー[[#This Row],[月]]&lt;=9,"Q2","Q3")))</f>
        <v>Q1</v>
      </c>
    </row>
    <row r="67" spans="1:5" ht="18" customHeight="1" x14ac:dyDescent="0.25">
      <c r="A67" s="27">
        <v>45082</v>
      </c>
      <c r="B67" s="29">
        <f>MONTH(W_カレンダー[[#This Row],[日付]])</f>
        <v>6</v>
      </c>
      <c r="C67" s="1">
        <f>YEAR(W_カレンダー[[#This Row],[日付]])</f>
        <v>2023</v>
      </c>
      <c r="D67" s="1">
        <f>IF(W_カレンダー[[#This Row],[月]]&lt;=3,W_カレンダー[[#This Row],[暦年]]-1,W_カレンダー[[#This Row],[暦年]])</f>
        <v>2023</v>
      </c>
      <c r="E67" s="1" t="str">
        <f>IF(W_カレンダー[[#This Row],[月]]&lt;=3,"Q4",IF(W_カレンダー[[#This Row],[月]]&lt;=6,"Q1",IF(W_カレンダー[[#This Row],[月]]&lt;=9,"Q2","Q3")))</f>
        <v>Q1</v>
      </c>
    </row>
    <row r="68" spans="1:5" ht="18" customHeight="1" x14ac:dyDescent="0.25">
      <c r="A68" s="27">
        <v>45083</v>
      </c>
      <c r="B68" s="29">
        <f>MONTH(W_カレンダー[[#This Row],[日付]])</f>
        <v>6</v>
      </c>
      <c r="C68" s="1">
        <f>YEAR(W_カレンダー[[#This Row],[日付]])</f>
        <v>2023</v>
      </c>
      <c r="D68" s="1">
        <f>IF(W_カレンダー[[#This Row],[月]]&lt;=3,W_カレンダー[[#This Row],[暦年]]-1,W_カレンダー[[#This Row],[暦年]])</f>
        <v>2023</v>
      </c>
      <c r="E68" s="1" t="str">
        <f>IF(W_カレンダー[[#This Row],[月]]&lt;=3,"Q4",IF(W_カレンダー[[#This Row],[月]]&lt;=6,"Q1",IF(W_カレンダー[[#This Row],[月]]&lt;=9,"Q2","Q3")))</f>
        <v>Q1</v>
      </c>
    </row>
    <row r="69" spans="1:5" ht="18" customHeight="1" x14ac:dyDescent="0.25">
      <c r="A69" s="27">
        <v>45084</v>
      </c>
      <c r="B69" s="29">
        <f>MONTH(W_カレンダー[[#This Row],[日付]])</f>
        <v>6</v>
      </c>
      <c r="C69" s="1">
        <f>YEAR(W_カレンダー[[#This Row],[日付]])</f>
        <v>2023</v>
      </c>
      <c r="D69" s="1">
        <f>IF(W_カレンダー[[#This Row],[月]]&lt;=3,W_カレンダー[[#This Row],[暦年]]-1,W_カレンダー[[#This Row],[暦年]])</f>
        <v>2023</v>
      </c>
      <c r="E69" s="1" t="str">
        <f>IF(W_カレンダー[[#This Row],[月]]&lt;=3,"Q4",IF(W_カレンダー[[#This Row],[月]]&lt;=6,"Q1",IF(W_カレンダー[[#This Row],[月]]&lt;=9,"Q2","Q3")))</f>
        <v>Q1</v>
      </c>
    </row>
    <row r="70" spans="1:5" ht="18" customHeight="1" x14ac:dyDescent="0.25">
      <c r="A70" s="27">
        <v>45085</v>
      </c>
      <c r="B70" s="29">
        <f>MONTH(W_カレンダー[[#This Row],[日付]])</f>
        <v>6</v>
      </c>
      <c r="C70" s="1">
        <f>YEAR(W_カレンダー[[#This Row],[日付]])</f>
        <v>2023</v>
      </c>
      <c r="D70" s="1">
        <f>IF(W_カレンダー[[#This Row],[月]]&lt;=3,W_カレンダー[[#This Row],[暦年]]-1,W_カレンダー[[#This Row],[暦年]])</f>
        <v>2023</v>
      </c>
      <c r="E70" s="1" t="str">
        <f>IF(W_カレンダー[[#This Row],[月]]&lt;=3,"Q4",IF(W_カレンダー[[#This Row],[月]]&lt;=6,"Q1",IF(W_カレンダー[[#This Row],[月]]&lt;=9,"Q2","Q3")))</f>
        <v>Q1</v>
      </c>
    </row>
    <row r="71" spans="1:5" ht="18" customHeight="1" x14ac:dyDescent="0.25">
      <c r="A71" s="27">
        <v>45086</v>
      </c>
      <c r="B71" s="29">
        <f>MONTH(W_カレンダー[[#This Row],[日付]])</f>
        <v>6</v>
      </c>
      <c r="C71" s="1">
        <f>YEAR(W_カレンダー[[#This Row],[日付]])</f>
        <v>2023</v>
      </c>
      <c r="D71" s="1">
        <f>IF(W_カレンダー[[#This Row],[月]]&lt;=3,W_カレンダー[[#This Row],[暦年]]-1,W_カレンダー[[#This Row],[暦年]])</f>
        <v>2023</v>
      </c>
      <c r="E71" s="1" t="str">
        <f>IF(W_カレンダー[[#This Row],[月]]&lt;=3,"Q4",IF(W_カレンダー[[#This Row],[月]]&lt;=6,"Q1",IF(W_カレンダー[[#This Row],[月]]&lt;=9,"Q2","Q3")))</f>
        <v>Q1</v>
      </c>
    </row>
    <row r="72" spans="1:5" ht="18" customHeight="1" x14ac:dyDescent="0.25">
      <c r="A72" s="27">
        <v>45087</v>
      </c>
      <c r="B72" s="29">
        <f>MONTH(W_カレンダー[[#This Row],[日付]])</f>
        <v>6</v>
      </c>
      <c r="C72" s="1">
        <f>YEAR(W_カレンダー[[#This Row],[日付]])</f>
        <v>2023</v>
      </c>
      <c r="D72" s="1">
        <f>IF(W_カレンダー[[#This Row],[月]]&lt;=3,W_カレンダー[[#This Row],[暦年]]-1,W_カレンダー[[#This Row],[暦年]])</f>
        <v>2023</v>
      </c>
      <c r="E72" s="1" t="str">
        <f>IF(W_カレンダー[[#This Row],[月]]&lt;=3,"Q4",IF(W_カレンダー[[#This Row],[月]]&lt;=6,"Q1",IF(W_カレンダー[[#This Row],[月]]&lt;=9,"Q2","Q3")))</f>
        <v>Q1</v>
      </c>
    </row>
    <row r="73" spans="1:5" ht="18" customHeight="1" x14ac:dyDescent="0.25">
      <c r="A73" s="27">
        <v>45088</v>
      </c>
      <c r="B73" s="29">
        <f>MONTH(W_カレンダー[[#This Row],[日付]])</f>
        <v>6</v>
      </c>
      <c r="C73" s="1">
        <f>YEAR(W_カレンダー[[#This Row],[日付]])</f>
        <v>2023</v>
      </c>
      <c r="D73" s="1">
        <f>IF(W_カレンダー[[#This Row],[月]]&lt;=3,W_カレンダー[[#This Row],[暦年]]-1,W_カレンダー[[#This Row],[暦年]])</f>
        <v>2023</v>
      </c>
      <c r="E73" s="1" t="str">
        <f>IF(W_カレンダー[[#This Row],[月]]&lt;=3,"Q4",IF(W_カレンダー[[#This Row],[月]]&lt;=6,"Q1",IF(W_カレンダー[[#This Row],[月]]&lt;=9,"Q2","Q3")))</f>
        <v>Q1</v>
      </c>
    </row>
    <row r="74" spans="1:5" ht="18" customHeight="1" x14ac:dyDescent="0.25">
      <c r="A74" s="27">
        <v>45089</v>
      </c>
      <c r="B74" s="29">
        <f>MONTH(W_カレンダー[[#This Row],[日付]])</f>
        <v>6</v>
      </c>
      <c r="C74" s="1">
        <f>YEAR(W_カレンダー[[#This Row],[日付]])</f>
        <v>2023</v>
      </c>
      <c r="D74" s="1">
        <f>IF(W_カレンダー[[#This Row],[月]]&lt;=3,W_カレンダー[[#This Row],[暦年]]-1,W_カレンダー[[#This Row],[暦年]])</f>
        <v>2023</v>
      </c>
      <c r="E74" s="1" t="str">
        <f>IF(W_カレンダー[[#This Row],[月]]&lt;=3,"Q4",IF(W_カレンダー[[#This Row],[月]]&lt;=6,"Q1",IF(W_カレンダー[[#This Row],[月]]&lt;=9,"Q2","Q3")))</f>
        <v>Q1</v>
      </c>
    </row>
    <row r="75" spans="1:5" ht="18" customHeight="1" x14ac:dyDescent="0.25">
      <c r="A75" s="27">
        <v>45090</v>
      </c>
      <c r="B75" s="29">
        <f>MONTH(W_カレンダー[[#This Row],[日付]])</f>
        <v>6</v>
      </c>
      <c r="C75" s="1">
        <f>YEAR(W_カレンダー[[#This Row],[日付]])</f>
        <v>2023</v>
      </c>
      <c r="D75" s="1">
        <f>IF(W_カレンダー[[#This Row],[月]]&lt;=3,W_カレンダー[[#This Row],[暦年]]-1,W_カレンダー[[#This Row],[暦年]])</f>
        <v>2023</v>
      </c>
      <c r="E75" s="1" t="str">
        <f>IF(W_カレンダー[[#This Row],[月]]&lt;=3,"Q4",IF(W_カレンダー[[#This Row],[月]]&lt;=6,"Q1",IF(W_カレンダー[[#This Row],[月]]&lt;=9,"Q2","Q3")))</f>
        <v>Q1</v>
      </c>
    </row>
    <row r="76" spans="1:5" ht="18" customHeight="1" x14ac:dyDescent="0.25">
      <c r="A76" s="27">
        <v>45091</v>
      </c>
      <c r="B76" s="29">
        <f>MONTH(W_カレンダー[[#This Row],[日付]])</f>
        <v>6</v>
      </c>
      <c r="C76" s="1">
        <f>YEAR(W_カレンダー[[#This Row],[日付]])</f>
        <v>2023</v>
      </c>
      <c r="D76" s="1">
        <f>IF(W_カレンダー[[#This Row],[月]]&lt;=3,W_カレンダー[[#This Row],[暦年]]-1,W_カレンダー[[#This Row],[暦年]])</f>
        <v>2023</v>
      </c>
      <c r="E76" s="1" t="str">
        <f>IF(W_カレンダー[[#This Row],[月]]&lt;=3,"Q4",IF(W_カレンダー[[#This Row],[月]]&lt;=6,"Q1",IF(W_カレンダー[[#This Row],[月]]&lt;=9,"Q2","Q3")))</f>
        <v>Q1</v>
      </c>
    </row>
    <row r="77" spans="1:5" ht="18" customHeight="1" x14ac:dyDescent="0.25">
      <c r="A77" s="27">
        <v>45092</v>
      </c>
      <c r="B77" s="29">
        <f>MONTH(W_カレンダー[[#This Row],[日付]])</f>
        <v>6</v>
      </c>
      <c r="C77" s="1">
        <f>YEAR(W_カレンダー[[#This Row],[日付]])</f>
        <v>2023</v>
      </c>
      <c r="D77" s="1">
        <f>IF(W_カレンダー[[#This Row],[月]]&lt;=3,W_カレンダー[[#This Row],[暦年]]-1,W_カレンダー[[#This Row],[暦年]])</f>
        <v>2023</v>
      </c>
      <c r="E77" s="1" t="str">
        <f>IF(W_カレンダー[[#This Row],[月]]&lt;=3,"Q4",IF(W_カレンダー[[#This Row],[月]]&lt;=6,"Q1",IF(W_カレンダー[[#This Row],[月]]&lt;=9,"Q2","Q3")))</f>
        <v>Q1</v>
      </c>
    </row>
    <row r="78" spans="1:5" ht="18" customHeight="1" x14ac:dyDescent="0.25">
      <c r="A78" s="27">
        <v>45093</v>
      </c>
      <c r="B78" s="29">
        <f>MONTH(W_カレンダー[[#This Row],[日付]])</f>
        <v>6</v>
      </c>
      <c r="C78" s="1">
        <f>YEAR(W_カレンダー[[#This Row],[日付]])</f>
        <v>2023</v>
      </c>
      <c r="D78" s="1">
        <f>IF(W_カレンダー[[#This Row],[月]]&lt;=3,W_カレンダー[[#This Row],[暦年]]-1,W_カレンダー[[#This Row],[暦年]])</f>
        <v>2023</v>
      </c>
      <c r="E78" s="1" t="str">
        <f>IF(W_カレンダー[[#This Row],[月]]&lt;=3,"Q4",IF(W_カレンダー[[#This Row],[月]]&lt;=6,"Q1",IF(W_カレンダー[[#This Row],[月]]&lt;=9,"Q2","Q3")))</f>
        <v>Q1</v>
      </c>
    </row>
    <row r="79" spans="1:5" ht="18" customHeight="1" x14ac:dyDescent="0.25">
      <c r="A79" s="27">
        <v>45094</v>
      </c>
      <c r="B79" s="29">
        <f>MONTH(W_カレンダー[[#This Row],[日付]])</f>
        <v>6</v>
      </c>
      <c r="C79" s="1">
        <f>YEAR(W_カレンダー[[#This Row],[日付]])</f>
        <v>2023</v>
      </c>
      <c r="D79" s="1">
        <f>IF(W_カレンダー[[#This Row],[月]]&lt;=3,W_カレンダー[[#This Row],[暦年]]-1,W_カレンダー[[#This Row],[暦年]])</f>
        <v>2023</v>
      </c>
      <c r="E79" s="1" t="str">
        <f>IF(W_カレンダー[[#This Row],[月]]&lt;=3,"Q4",IF(W_カレンダー[[#This Row],[月]]&lt;=6,"Q1",IF(W_カレンダー[[#This Row],[月]]&lt;=9,"Q2","Q3")))</f>
        <v>Q1</v>
      </c>
    </row>
    <row r="80" spans="1:5" ht="18" customHeight="1" x14ac:dyDescent="0.25">
      <c r="A80" s="27">
        <v>45095</v>
      </c>
      <c r="B80" s="29">
        <f>MONTH(W_カレンダー[[#This Row],[日付]])</f>
        <v>6</v>
      </c>
      <c r="C80" s="1">
        <f>YEAR(W_カレンダー[[#This Row],[日付]])</f>
        <v>2023</v>
      </c>
      <c r="D80" s="1">
        <f>IF(W_カレンダー[[#This Row],[月]]&lt;=3,W_カレンダー[[#This Row],[暦年]]-1,W_カレンダー[[#This Row],[暦年]])</f>
        <v>2023</v>
      </c>
      <c r="E80" s="1" t="str">
        <f>IF(W_カレンダー[[#This Row],[月]]&lt;=3,"Q4",IF(W_カレンダー[[#This Row],[月]]&lt;=6,"Q1",IF(W_カレンダー[[#This Row],[月]]&lt;=9,"Q2","Q3")))</f>
        <v>Q1</v>
      </c>
    </row>
    <row r="81" spans="1:5" ht="18" customHeight="1" x14ac:dyDescent="0.25">
      <c r="A81" s="27">
        <v>45096</v>
      </c>
      <c r="B81" s="29">
        <f>MONTH(W_カレンダー[[#This Row],[日付]])</f>
        <v>6</v>
      </c>
      <c r="C81" s="1">
        <f>YEAR(W_カレンダー[[#This Row],[日付]])</f>
        <v>2023</v>
      </c>
      <c r="D81" s="1">
        <f>IF(W_カレンダー[[#This Row],[月]]&lt;=3,W_カレンダー[[#This Row],[暦年]]-1,W_カレンダー[[#This Row],[暦年]])</f>
        <v>2023</v>
      </c>
      <c r="E81" s="1" t="str">
        <f>IF(W_カレンダー[[#This Row],[月]]&lt;=3,"Q4",IF(W_カレンダー[[#This Row],[月]]&lt;=6,"Q1",IF(W_カレンダー[[#This Row],[月]]&lt;=9,"Q2","Q3")))</f>
        <v>Q1</v>
      </c>
    </row>
    <row r="82" spans="1:5" ht="18" customHeight="1" x14ac:dyDescent="0.25">
      <c r="A82" s="27">
        <v>45097</v>
      </c>
      <c r="B82" s="29">
        <f>MONTH(W_カレンダー[[#This Row],[日付]])</f>
        <v>6</v>
      </c>
      <c r="C82" s="1">
        <f>YEAR(W_カレンダー[[#This Row],[日付]])</f>
        <v>2023</v>
      </c>
      <c r="D82" s="1">
        <f>IF(W_カレンダー[[#This Row],[月]]&lt;=3,W_カレンダー[[#This Row],[暦年]]-1,W_カレンダー[[#This Row],[暦年]])</f>
        <v>2023</v>
      </c>
      <c r="E82" s="1" t="str">
        <f>IF(W_カレンダー[[#This Row],[月]]&lt;=3,"Q4",IF(W_カレンダー[[#This Row],[月]]&lt;=6,"Q1",IF(W_カレンダー[[#This Row],[月]]&lt;=9,"Q2","Q3")))</f>
        <v>Q1</v>
      </c>
    </row>
    <row r="83" spans="1:5" ht="18" customHeight="1" x14ac:dyDescent="0.25">
      <c r="A83" s="27">
        <v>45098</v>
      </c>
      <c r="B83" s="29">
        <f>MONTH(W_カレンダー[[#This Row],[日付]])</f>
        <v>6</v>
      </c>
      <c r="C83" s="1">
        <f>YEAR(W_カレンダー[[#This Row],[日付]])</f>
        <v>2023</v>
      </c>
      <c r="D83" s="1">
        <f>IF(W_カレンダー[[#This Row],[月]]&lt;=3,W_カレンダー[[#This Row],[暦年]]-1,W_カレンダー[[#This Row],[暦年]])</f>
        <v>2023</v>
      </c>
      <c r="E83" s="1" t="str">
        <f>IF(W_カレンダー[[#This Row],[月]]&lt;=3,"Q4",IF(W_カレンダー[[#This Row],[月]]&lt;=6,"Q1",IF(W_カレンダー[[#This Row],[月]]&lt;=9,"Q2","Q3")))</f>
        <v>Q1</v>
      </c>
    </row>
    <row r="84" spans="1:5" ht="18" customHeight="1" x14ac:dyDescent="0.25">
      <c r="A84" s="27">
        <v>45099</v>
      </c>
      <c r="B84" s="29">
        <f>MONTH(W_カレンダー[[#This Row],[日付]])</f>
        <v>6</v>
      </c>
      <c r="C84" s="1">
        <f>YEAR(W_カレンダー[[#This Row],[日付]])</f>
        <v>2023</v>
      </c>
      <c r="D84" s="1">
        <f>IF(W_カレンダー[[#This Row],[月]]&lt;=3,W_カレンダー[[#This Row],[暦年]]-1,W_カレンダー[[#This Row],[暦年]])</f>
        <v>2023</v>
      </c>
      <c r="E84" s="1" t="str">
        <f>IF(W_カレンダー[[#This Row],[月]]&lt;=3,"Q4",IF(W_カレンダー[[#This Row],[月]]&lt;=6,"Q1",IF(W_カレンダー[[#This Row],[月]]&lt;=9,"Q2","Q3")))</f>
        <v>Q1</v>
      </c>
    </row>
    <row r="85" spans="1:5" ht="18" customHeight="1" x14ac:dyDescent="0.25">
      <c r="A85" s="27">
        <v>45100</v>
      </c>
      <c r="B85" s="29">
        <f>MONTH(W_カレンダー[[#This Row],[日付]])</f>
        <v>6</v>
      </c>
      <c r="C85" s="1">
        <f>YEAR(W_カレンダー[[#This Row],[日付]])</f>
        <v>2023</v>
      </c>
      <c r="D85" s="1">
        <f>IF(W_カレンダー[[#This Row],[月]]&lt;=3,W_カレンダー[[#This Row],[暦年]]-1,W_カレンダー[[#This Row],[暦年]])</f>
        <v>2023</v>
      </c>
      <c r="E85" s="1" t="str">
        <f>IF(W_カレンダー[[#This Row],[月]]&lt;=3,"Q4",IF(W_カレンダー[[#This Row],[月]]&lt;=6,"Q1",IF(W_カレンダー[[#This Row],[月]]&lt;=9,"Q2","Q3")))</f>
        <v>Q1</v>
      </c>
    </row>
    <row r="86" spans="1:5" ht="18" customHeight="1" x14ac:dyDescent="0.25">
      <c r="A86" s="27">
        <v>45101</v>
      </c>
      <c r="B86" s="29">
        <f>MONTH(W_カレンダー[[#This Row],[日付]])</f>
        <v>6</v>
      </c>
      <c r="C86" s="1">
        <f>YEAR(W_カレンダー[[#This Row],[日付]])</f>
        <v>2023</v>
      </c>
      <c r="D86" s="1">
        <f>IF(W_カレンダー[[#This Row],[月]]&lt;=3,W_カレンダー[[#This Row],[暦年]]-1,W_カレンダー[[#This Row],[暦年]])</f>
        <v>2023</v>
      </c>
      <c r="E86" s="1" t="str">
        <f>IF(W_カレンダー[[#This Row],[月]]&lt;=3,"Q4",IF(W_カレンダー[[#This Row],[月]]&lt;=6,"Q1",IF(W_カレンダー[[#This Row],[月]]&lt;=9,"Q2","Q3")))</f>
        <v>Q1</v>
      </c>
    </row>
    <row r="87" spans="1:5" ht="18" customHeight="1" x14ac:dyDescent="0.25">
      <c r="A87" s="27">
        <v>45102</v>
      </c>
      <c r="B87" s="29">
        <f>MONTH(W_カレンダー[[#This Row],[日付]])</f>
        <v>6</v>
      </c>
      <c r="C87" s="1">
        <f>YEAR(W_カレンダー[[#This Row],[日付]])</f>
        <v>2023</v>
      </c>
      <c r="D87" s="1">
        <f>IF(W_カレンダー[[#This Row],[月]]&lt;=3,W_カレンダー[[#This Row],[暦年]]-1,W_カレンダー[[#This Row],[暦年]])</f>
        <v>2023</v>
      </c>
      <c r="E87" s="1" t="str">
        <f>IF(W_カレンダー[[#This Row],[月]]&lt;=3,"Q4",IF(W_カレンダー[[#This Row],[月]]&lt;=6,"Q1",IF(W_カレンダー[[#This Row],[月]]&lt;=9,"Q2","Q3")))</f>
        <v>Q1</v>
      </c>
    </row>
    <row r="88" spans="1:5" ht="18" customHeight="1" x14ac:dyDescent="0.25">
      <c r="A88" s="27">
        <v>45103</v>
      </c>
      <c r="B88" s="29">
        <f>MONTH(W_カレンダー[[#This Row],[日付]])</f>
        <v>6</v>
      </c>
      <c r="C88" s="1">
        <f>YEAR(W_カレンダー[[#This Row],[日付]])</f>
        <v>2023</v>
      </c>
      <c r="D88" s="1">
        <f>IF(W_カレンダー[[#This Row],[月]]&lt;=3,W_カレンダー[[#This Row],[暦年]]-1,W_カレンダー[[#This Row],[暦年]])</f>
        <v>2023</v>
      </c>
      <c r="E88" s="1" t="str">
        <f>IF(W_カレンダー[[#This Row],[月]]&lt;=3,"Q4",IF(W_カレンダー[[#This Row],[月]]&lt;=6,"Q1",IF(W_カレンダー[[#This Row],[月]]&lt;=9,"Q2","Q3")))</f>
        <v>Q1</v>
      </c>
    </row>
    <row r="89" spans="1:5" ht="18" customHeight="1" x14ac:dyDescent="0.25">
      <c r="A89" s="27">
        <v>45104</v>
      </c>
      <c r="B89" s="29">
        <f>MONTH(W_カレンダー[[#This Row],[日付]])</f>
        <v>6</v>
      </c>
      <c r="C89" s="1">
        <f>YEAR(W_カレンダー[[#This Row],[日付]])</f>
        <v>2023</v>
      </c>
      <c r="D89" s="1">
        <f>IF(W_カレンダー[[#This Row],[月]]&lt;=3,W_カレンダー[[#This Row],[暦年]]-1,W_カレンダー[[#This Row],[暦年]])</f>
        <v>2023</v>
      </c>
      <c r="E89" s="1" t="str">
        <f>IF(W_カレンダー[[#This Row],[月]]&lt;=3,"Q4",IF(W_カレンダー[[#This Row],[月]]&lt;=6,"Q1",IF(W_カレンダー[[#This Row],[月]]&lt;=9,"Q2","Q3")))</f>
        <v>Q1</v>
      </c>
    </row>
    <row r="90" spans="1:5" ht="18" customHeight="1" x14ac:dyDescent="0.25">
      <c r="A90" s="27">
        <v>45105</v>
      </c>
      <c r="B90" s="29">
        <f>MONTH(W_カレンダー[[#This Row],[日付]])</f>
        <v>6</v>
      </c>
      <c r="C90" s="1">
        <f>YEAR(W_カレンダー[[#This Row],[日付]])</f>
        <v>2023</v>
      </c>
      <c r="D90" s="1">
        <f>IF(W_カレンダー[[#This Row],[月]]&lt;=3,W_カレンダー[[#This Row],[暦年]]-1,W_カレンダー[[#This Row],[暦年]])</f>
        <v>2023</v>
      </c>
      <c r="E90" s="1" t="str">
        <f>IF(W_カレンダー[[#This Row],[月]]&lt;=3,"Q4",IF(W_カレンダー[[#This Row],[月]]&lt;=6,"Q1",IF(W_カレンダー[[#This Row],[月]]&lt;=9,"Q2","Q3")))</f>
        <v>Q1</v>
      </c>
    </row>
    <row r="91" spans="1:5" ht="18" customHeight="1" x14ac:dyDescent="0.25">
      <c r="A91" s="27">
        <v>45106</v>
      </c>
      <c r="B91" s="29">
        <f>MONTH(W_カレンダー[[#This Row],[日付]])</f>
        <v>6</v>
      </c>
      <c r="C91" s="1">
        <f>YEAR(W_カレンダー[[#This Row],[日付]])</f>
        <v>2023</v>
      </c>
      <c r="D91" s="1">
        <f>IF(W_カレンダー[[#This Row],[月]]&lt;=3,W_カレンダー[[#This Row],[暦年]]-1,W_カレンダー[[#This Row],[暦年]])</f>
        <v>2023</v>
      </c>
      <c r="E91" s="1" t="str">
        <f>IF(W_カレンダー[[#This Row],[月]]&lt;=3,"Q4",IF(W_カレンダー[[#This Row],[月]]&lt;=6,"Q1",IF(W_カレンダー[[#This Row],[月]]&lt;=9,"Q2","Q3")))</f>
        <v>Q1</v>
      </c>
    </row>
    <row r="92" spans="1:5" ht="18" customHeight="1" x14ac:dyDescent="0.25">
      <c r="A92" s="27">
        <v>45107</v>
      </c>
      <c r="B92" s="29">
        <f>MONTH(W_カレンダー[[#This Row],[日付]])</f>
        <v>6</v>
      </c>
      <c r="C92" s="1">
        <f>YEAR(W_カレンダー[[#This Row],[日付]])</f>
        <v>2023</v>
      </c>
      <c r="D92" s="1">
        <f>IF(W_カレンダー[[#This Row],[月]]&lt;=3,W_カレンダー[[#This Row],[暦年]]-1,W_カレンダー[[#This Row],[暦年]])</f>
        <v>2023</v>
      </c>
      <c r="E92" s="1" t="str">
        <f>IF(W_カレンダー[[#This Row],[月]]&lt;=3,"Q4",IF(W_カレンダー[[#This Row],[月]]&lt;=6,"Q1",IF(W_カレンダー[[#This Row],[月]]&lt;=9,"Q2","Q3")))</f>
        <v>Q1</v>
      </c>
    </row>
    <row r="93" spans="1:5" ht="18" customHeight="1" x14ac:dyDescent="0.25">
      <c r="A93" s="27">
        <v>45108</v>
      </c>
      <c r="B93" s="29">
        <f>MONTH(W_カレンダー[[#This Row],[日付]])</f>
        <v>7</v>
      </c>
      <c r="C93" s="1">
        <f>YEAR(W_カレンダー[[#This Row],[日付]])</f>
        <v>2023</v>
      </c>
      <c r="D93" s="1">
        <f>IF(W_カレンダー[[#This Row],[月]]&lt;=3,W_カレンダー[[#This Row],[暦年]]-1,W_カレンダー[[#This Row],[暦年]])</f>
        <v>2023</v>
      </c>
      <c r="E93" s="1" t="str">
        <f>IF(W_カレンダー[[#This Row],[月]]&lt;=3,"Q4",IF(W_カレンダー[[#This Row],[月]]&lt;=6,"Q1",IF(W_カレンダー[[#This Row],[月]]&lt;=9,"Q2","Q3")))</f>
        <v>Q2</v>
      </c>
    </row>
    <row r="94" spans="1:5" ht="18" customHeight="1" x14ac:dyDescent="0.25">
      <c r="A94" s="27">
        <v>45109</v>
      </c>
      <c r="B94" s="29">
        <f>MONTH(W_カレンダー[[#This Row],[日付]])</f>
        <v>7</v>
      </c>
      <c r="C94" s="1">
        <f>YEAR(W_カレンダー[[#This Row],[日付]])</f>
        <v>2023</v>
      </c>
      <c r="D94" s="1">
        <f>IF(W_カレンダー[[#This Row],[月]]&lt;=3,W_カレンダー[[#This Row],[暦年]]-1,W_カレンダー[[#This Row],[暦年]])</f>
        <v>2023</v>
      </c>
      <c r="E94" s="1" t="str">
        <f>IF(W_カレンダー[[#This Row],[月]]&lt;=3,"Q4",IF(W_カレンダー[[#This Row],[月]]&lt;=6,"Q1",IF(W_カレンダー[[#This Row],[月]]&lt;=9,"Q2","Q3")))</f>
        <v>Q2</v>
      </c>
    </row>
    <row r="95" spans="1:5" ht="18" customHeight="1" x14ac:dyDescent="0.25">
      <c r="A95" s="27">
        <v>45110</v>
      </c>
      <c r="B95" s="29">
        <f>MONTH(W_カレンダー[[#This Row],[日付]])</f>
        <v>7</v>
      </c>
      <c r="C95" s="1">
        <f>YEAR(W_カレンダー[[#This Row],[日付]])</f>
        <v>2023</v>
      </c>
      <c r="D95" s="1">
        <f>IF(W_カレンダー[[#This Row],[月]]&lt;=3,W_カレンダー[[#This Row],[暦年]]-1,W_カレンダー[[#This Row],[暦年]])</f>
        <v>2023</v>
      </c>
      <c r="E95" s="1" t="str">
        <f>IF(W_カレンダー[[#This Row],[月]]&lt;=3,"Q4",IF(W_カレンダー[[#This Row],[月]]&lt;=6,"Q1",IF(W_カレンダー[[#This Row],[月]]&lt;=9,"Q2","Q3")))</f>
        <v>Q2</v>
      </c>
    </row>
    <row r="96" spans="1:5" ht="18" customHeight="1" x14ac:dyDescent="0.25">
      <c r="A96" s="27">
        <v>45111</v>
      </c>
      <c r="B96" s="29">
        <f>MONTH(W_カレンダー[[#This Row],[日付]])</f>
        <v>7</v>
      </c>
      <c r="C96" s="1">
        <f>YEAR(W_カレンダー[[#This Row],[日付]])</f>
        <v>2023</v>
      </c>
      <c r="D96" s="1">
        <f>IF(W_カレンダー[[#This Row],[月]]&lt;=3,W_カレンダー[[#This Row],[暦年]]-1,W_カレンダー[[#This Row],[暦年]])</f>
        <v>2023</v>
      </c>
      <c r="E96" s="1" t="str">
        <f>IF(W_カレンダー[[#This Row],[月]]&lt;=3,"Q4",IF(W_カレンダー[[#This Row],[月]]&lt;=6,"Q1",IF(W_カレンダー[[#This Row],[月]]&lt;=9,"Q2","Q3")))</f>
        <v>Q2</v>
      </c>
    </row>
    <row r="97" spans="1:5" ht="18" customHeight="1" x14ac:dyDescent="0.25">
      <c r="A97" s="27">
        <v>45112</v>
      </c>
      <c r="B97" s="29">
        <f>MONTH(W_カレンダー[[#This Row],[日付]])</f>
        <v>7</v>
      </c>
      <c r="C97" s="1">
        <f>YEAR(W_カレンダー[[#This Row],[日付]])</f>
        <v>2023</v>
      </c>
      <c r="D97" s="1">
        <f>IF(W_カレンダー[[#This Row],[月]]&lt;=3,W_カレンダー[[#This Row],[暦年]]-1,W_カレンダー[[#This Row],[暦年]])</f>
        <v>2023</v>
      </c>
      <c r="E97" s="1" t="str">
        <f>IF(W_カレンダー[[#This Row],[月]]&lt;=3,"Q4",IF(W_カレンダー[[#This Row],[月]]&lt;=6,"Q1",IF(W_カレンダー[[#This Row],[月]]&lt;=9,"Q2","Q3")))</f>
        <v>Q2</v>
      </c>
    </row>
    <row r="98" spans="1:5" ht="18" customHeight="1" x14ac:dyDescent="0.25">
      <c r="A98" s="27">
        <v>45113</v>
      </c>
      <c r="B98" s="29">
        <f>MONTH(W_カレンダー[[#This Row],[日付]])</f>
        <v>7</v>
      </c>
      <c r="C98" s="1">
        <f>YEAR(W_カレンダー[[#This Row],[日付]])</f>
        <v>2023</v>
      </c>
      <c r="D98" s="1">
        <f>IF(W_カレンダー[[#This Row],[月]]&lt;=3,W_カレンダー[[#This Row],[暦年]]-1,W_カレンダー[[#This Row],[暦年]])</f>
        <v>2023</v>
      </c>
      <c r="E98" s="1" t="str">
        <f>IF(W_カレンダー[[#This Row],[月]]&lt;=3,"Q4",IF(W_カレンダー[[#This Row],[月]]&lt;=6,"Q1",IF(W_カレンダー[[#This Row],[月]]&lt;=9,"Q2","Q3")))</f>
        <v>Q2</v>
      </c>
    </row>
    <row r="99" spans="1:5" ht="18" customHeight="1" x14ac:dyDescent="0.25">
      <c r="A99" s="27">
        <v>45114</v>
      </c>
      <c r="B99" s="29">
        <f>MONTH(W_カレンダー[[#This Row],[日付]])</f>
        <v>7</v>
      </c>
      <c r="C99" s="1">
        <f>YEAR(W_カレンダー[[#This Row],[日付]])</f>
        <v>2023</v>
      </c>
      <c r="D99" s="1">
        <f>IF(W_カレンダー[[#This Row],[月]]&lt;=3,W_カレンダー[[#This Row],[暦年]]-1,W_カレンダー[[#This Row],[暦年]])</f>
        <v>2023</v>
      </c>
      <c r="E99" s="1" t="str">
        <f>IF(W_カレンダー[[#This Row],[月]]&lt;=3,"Q4",IF(W_カレンダー[[#This Row],[月]]&lt;=6,"Q1",IF(W_カレンダー[[#This Row],[月]]&lt;=9,"Q2","Q3")))</f>
        <v>Q2</v>
      </c>
    </row>
    <row r="100" spans="1:5" ht="18" customHeight="1" x14ac:dyDescent="0.25">
      <c r="A100" s="27">
        <v>45115</v>
      </c>
      <c r="B100" s="29">
        <f>MONTH(W_カレンダー[[#This Row],[日付]])</f>
        <v>7</v>
      </c>
      <c r="C100" s="1">
        <f>YEAR(W_カレンダー[[#This Row],[日付]])</f>
        <v>2023</v>
      </c>
      <c r="D100" s="1">
        <f>IF(W_カレンダー[[#This Row],[月]]&lt;=3,W_カレンダー[[#This Row],[暦年]]-1,W_カレンダー[[#This Row],[暦年]])</f>
        <v>2023</v>
      </c>
      <c r="E100" s="1" t="str">
        <f>IF(W_カレンダー[[#This Row],[月]]&lt;=3,"Q4",IF(W_カレンダー[[#This Row],[月]]&lt;=6,"Q1",IF(W_カレンダー[[#This Row],[月]]&lt;=9,"Q2","Q3")))</f>
        <v>Q2</v>
      </c>
    </row>
    <row r="101" spans="1:5" ht="18" customHeight="1" x14ac:dyDescent="0.25">
      <c r="A101" s="27">
        <v>45116</v>
      </c>
      <c r="B101" s="29">
        <f>MONTH(W_カレンダー[[#This Row],[日付]])</f>
        <v>7</v>
      </c>
      <c r="C101" s="1">
        <f>YEAR(W_カレンダー[[#This Row],[日付]])</f>
        <v>2023</v>
      </c>
      <c r="D101" s="1">
        <f>IF(W_カレンダー[[#This Row],[月]]&lt;=3,W_カレンダー[[#This Row],[暦年]]-1,W_カレンダー[[#This Row],[暦年]])</f>
        <v>2023</v>
      </c>
      <c r="E101" s="1" t="str">
        <f>IF(W_カレンダー[[#This Row],[月]]&lt;=3,"Q4",IF(W_カレンダー[[#This Row],[月]]&lt;=6,"Q1",IF(W_カレンダー[[#This Row],[月]]&lt;=9,"Q2","Q3")))</f>
        <v>Q2</v>
      </c>
    </row>
    <row r="102" spans="1:5" ht="18" customHeight="1" x14ac:dyDescent="0.25">
      <c r="A102" s="27">
        <v>45117</v>
      </c>
      <c r="B102" s="29">
        <f>MONTH(W_カレンダー[[#This Row],[日付]])</f>
        <v>7</v>
      </c>
      <c r="C102" s="1">
        <f>YEAR(W_カレンダー[[#This Row],[日付]])</f>
        <v>2023</v>
      </c>
      <c r="D102" s="1">
        <f>IF(W_カレンダー[[#This Row],[月]]&lt;=3,W_カレンダー[[#This Row],[暦年]]-1,W_カレンダー[[#This Row],[暦年]])</f>
        <v>2023</v>
      </c>
      <c r="E102" s="1" t="str">
        <f>IF(W_カレンダー[[#This Row],[月]]&lt;=3,"Q4",IF(W_カレンダー[[#This Row],[月]]&lt;=6,"Q1",IF(W_カレンダー[[#This Row],[月]]&lt;=9,"Q2","Q3")))</f>
        <v>Q2</v>
      </c>
    </row>
    <row r="103" spans="1:5" ht="18" customHeight="1" x14ac:dyDescent="0.25">
      <c r="A103" s="27">
        <v>45118</v>
      </c>
      <c r="B103" s="29">
        <f>MONTH(W_カレンダー[[#This Row],[日付]])</f>
        <v>7</v>
      </c>
      <c r="C103" s="1">
        <f>YEAR(W_カレンダー[[#This Row],[日付]])</f>
        <v>2023</v>
      </c>
      <c r="D103" s="1">
        <f>IF(W_カレンダー[[#This Row],[月]]&lt;=3,W_カレンダー[[#This Row],[暦年]]-1,W_カレンダー[[#This Row],[暦年]])</f>
        <v>2023</v>
      </c>
      <c r="E103" s="1" t="str">
        <f>IF(W_カレンダー[[#This Row],[月]]&lt;=3,"Q4",IF(W_カレンダー[[#This Row],[月]]&lt;=6,"Q1",IF(W_カレンダー[[#This Row],[月]]&lt;=9,"Q2","Q3")))</f>
        <v>Q2</v>
      </c>
    </row>
    <row r="104" spans="1:5" ht="18" customHeight="1" x14ac:dyDescent="0.25">
      <c r="A104" s="27">
        <v>45119</v>
      </c>
      <c r="B104" s="29">
        <f>MONTH(W_カレンダー[[#This Row],[日付]])</f>
        <v>7</v>
      </c>
      <c r="C104" s="1">
        <f>YEAR(W_カレンダー[[#This Row],[日付]])</f>
        <v>2023</v>
      </c>
      <c r="D104" s="1">
        <f>IF(W_カレンダー[[#This Row],[月]]&lt;=3,W_カレンダー[[#This Row],[暦年]]-1,W_カレンダー[[#This Row],[暦年]])</f>
        <v>2023</v>
      </c>
      <c r="E104" s="1" t="str">
        <f>IF(W_カレンダー[[#This Row],[月]]&lt;=3,"Q4",IF(W_カレンダー[[#This Row],[月]]&lt;=6,"Q1",IF(W_カレンダー[[#This Row],[月]]&lt;=9,"Q2","Q3")))</f>
        <v>Q2</v>
      </c>
    </row>
    <row r="105" spans="1:5" ht="18" customHeight="1" x14ac:dyDescent="0.25">
      <c r="A105" s="27">
        <v>45120</v>
      </c>
      <c r="B105" s="29">
        <f>MONTH(W_カレンダー[[#This Row],[日付]])</f>
        <v>7</v>
      </c>
      <c r="C105" s="1">
        <f>YEAR(W_カレンダー[[#This Row],[日付]])</f>
        <v>2023</v>
      </c>
      <c r="D105" s="1">
        <f>IF(W_カレンダー[[#This Row],[月]]&lt;=3,W_カレンダー[[#This Row],[暦年]]-1,W_カレンダー[[#This Row],[暦年]])</f>
        <v>2023</v>
      </c>
      <c r="E105" s="1" t="str">
        <f>IF(W_カレンダー[[#This Row],[月]]&lt;=3,"Q4",IF(W_カレンダー[[#This Row],[月]]&lt;=6,"Q1",IF(W_カレンダー[[#This Row],[月]]&lt;=9,"Q2","Q3")))</f>
        <v>Q2</v>
      </c>
    </row>
    <row r="106" spans="1:5" ht="18" customHeight="1" x14ac:dyDescent="0.25">
      <c r="A106" s="27">
        <v>45121</v>
      </c>
      <c r="B106" s="29">
        <f>MONTH(W_カレンダー[[#This Row],[日付]])</f>
        <v>7</v>
      </c>
      <c r="C106" s="1">
        <f>YEAR(W_カレンダー[[#This Row],[日付]])</f>
        <v>2023</v>
      </c>
      <c r="D106" s="1">
        <f>IF(W_カレンダー[[#This Row],[月]]&lt;=3,W_カレンダー[[#This Row],[暦年]]-1,W_カレンダー[[#This Row],[暦年]])</f>
        <v>2023</v>
      </c>
      <c r="E106" s="1" t="str">
        <f>IF(W_カレンダー[[#This Row],[月]]&lt;=3,"Q4",IF(W_カレンダー[[#This Row],[月]]&lt;=6,"Q1",IF(W_カレンダー[[#This Row],[月]]&lt;=9,"Q2","Q3")))</f>
        <v>Q2</v>
      </c>
    </row>
    <row r="107" spans="1:5" ht="18" customHeight="1" x14ac:dyDescent="0.25">
      <c r="A107" s="27">
        <v>45122</v>
      </c>
      <c r="B107" s="29">
        <f>MONTH(W_カレンダー[[#This Row],[日付]])</f>
        <v>7</v>
      </c>
      <c r="C107" s="1">
        <f>YEAR(W_カレンダー[[#This Row],[日付]])</f>
        <v>2023</v>
      </c>
      <c r="D107" s="1">
        <f>IF(W_カレンダー[[#This Row],[月]]&lt;=3,W_カレンダー[[#This Row],[暦年]]-1,W_カレンダー[[#This Row],[暦年]])</f>
        <v>2023</v>
      </c>
      <c r="E107" s="1" t="str">
        <f>IF(W_カレンダー[[#This Row],[月]]&lt;=3,"Q4",IF(W_カレンダー[[#This Row],[月]]&lt;=6,"Q1",IF(W_カレンダー[[#This Row],[月]]&lt;=9,"Q2","Q3")))</f>
        <v>Q2</v>
      </c>
    </row>
    <row r="108" spans="1:5" ht="18" customHeight="1" x14ac:dyDescent="0.25">
      <c r="A108" s="27">
        <v>45123</v>
      </c>
      <c r="B108" s="29">
        <f>MONTH(W_カレンダー[[#This Row],[日付]])</f>
        <v>7</v>
      </c>
      <c r="C108" s="1">
        <f>YEAR(W_カレンダー[[#This Row],[日付]])</f>
        <v>2023</v>
      </c>
      <c r="D108" s="1">
        <f>IF(W_カレンダー[[#This Row],[月]]&lt;=3,W_カレンダー[[#This Row],[暦年]]-1,W_カレンダー[[#This Row],[暦年]])</f>
        <v>2023</v>
      </c>
      <c r="E108" s="1" t="str">
        <f>IF(W_カレンダー[[#This Row],[月]]&lt;=3,"Q4",IF(W_カレンダー[[#This Row],[月]]&lt;=6,"Q1",IF(W_カレンダー[[#This Row],[月]]&lt;=9,"Q2","Q3")))</f>
        <v>Q2</v>
      </c>
    </row>
    <row r="109" spans="1:5" ht="18" customHeight="1" x14ac:dyDescent="0.25">
      <c r="A109" s="27">
        <v>45124</v>
      </c>
      <c r="B109" s="29">
        <f>MONTH(W_カレンダー[[#This Row],[日付]])</f>
        <v>7</v>
      </c>
      <c r="C109" s="1">
        <f>YEAR(W_カレンダー[[#This Row],[日付]])</f>
        <v>2023</v>
      </c>
      <c r="D109" s="1">
        <f>IF(W_カレンダー[[#This Row],[月]]&lt;=3,W_カレンダー[[#This Row],[暦年]]-1,W_カレンダー[[#This Row],[暦年]])</f>
        <v>2023</v>
      </c>
      <c r="E109" s="1" t="str">
        <f>IF(W_カレンダー[[#This Row],[月]]&lt;=3,"Q4",IF(W_カレンダー[[#This Row],[月]]&lt;=6,"Q1",IF(W_カレンダー[[#This Row],[月]]&lt;=9,"Q2","Q3")))</f>
        <v>Q2</v>
      </c>
    </row>
    <row r="110" spans="1:5" ht="18" customHeight="1" x14ac:dyDescent="0.25">
      <c r="A110" s="27">
        <v>45125</v>
      </c>
      <c r="B110" s="29">
        <f>MONTH(W_カレンダー[[#This Row],[日付]])</f>
        <v>7</v>
      </c>
      <c r="C110" s="1">
        <f>YEAR(W_カレンダー[[#This Row],[日付]])</f>
        <v>2023</v>
      </c>
      <c r="D110" s="1">
        <f>IF(W_カレンダー[[#This Row],[月]]&lt;=3,W_カレンダー[[#This Row],[暦年]]-1,W_カレンダー[[#This Row],[暦年]])</f>
        <v>2023</v>
      </c>
      <c r="E110" s="1" t="str">
        <f>IF(W_カレンダー[[#This Row],[月]]&lt;=3,"Q4",IF(W_カレンダー[[#This Row],[月]]&lt;=6,"Q1",IF(W_カレンダー[[#This Row],[月]]&lt;=9,"Q2","Q3")))</f>
        <v>Q2</v>
      </c>
    </row>
    <row r="111" spans="1:5" ht="18" customHeight="1" x14ac:dyDescent="0.25">
      <c r="A111" s="27">
        <v>45126</v>
      </c>
      <c r="B111" s="29">
        <f>MONTH(W_カレンダー[[#This Row],[日付]])</f>
        <v>7</v>
      </c>
      <c r="C111" s="1">
        <f>YEAR(W_カレンダー[[#This Row],[日付]])</f>
        <v>2023</v>
      </c>
      <c r="D111" s="1">
        <f>IF(W_カレンダー[[#This Row],[月]]&lt;=3,W_カレンダー[[#This Row],[暦年]]-1,W_カレンダー[[#This Row],[暦年]])</f>
        <v>2023</v>
      </c>
      <c r="E111" s="1" t="str">
        <f>IF(W_カレンダー[[#This Row],[月]]&lt;=3,"Q4",IF(W_カレンダー[[#This Row],[月]]&lt;=6,"Q1",IF(W_カレンダー[[#This Row],[月]]&lt;=9,"Q2","Q3")))</f>
        <v>Q2</v>
      </c>
    </row>
    <row r="112" spans="1:5" ht="18" customHeight="1" x14ac:dyDescent="0.25">
      <c r="A112" s="27">
        <v>45127</v>
      </c>
      <c r="B112" s="29">
        <f>MONTH(W_カレンダー[[#This Row],[日付]])</f>
        <v>7</v>
      </c>
      <c r="C112" s="1">
        <f>YEAR(W_カレンダー[[#This Row],[日付]])</f>
        <v>2023</v>
      </c>
      <c r="D112" s="1">
        <f>IF(W_カレンダー[[#This Row],[月]]&lt;=3,W_カレンダー[[#This Row],[暦年]]-1,W_カレンダー[[#This Row],[暦年]])</f>
        <v>2023</v>
      </c>
      <c r="E112" s="1" t="str">
        <f>IF(W_カレンダー[[#This Row],[月]]&lt;=3,"Q4",IF(W_カレンダー[[#This Row],[月]]&lt;=6,"Q1",IF(W_カレンダー[[#This Row],[月]]&lt;=9,"Q2","Q3")))</f>
        <v>Q2</v>
      </c>
    </row>
    <row r="113" spans="1:5" ht="18" customHeight="1" x14ac:dyDescent="0.25">
      <c r="A113" s="27">
        <v>45128</v>
      </c>
      <c r="B113" s="29">
        <f>MONTH(W_カレンダー[[#This Row],[日付]])</f>
        <v>7</v>
      </c>
      <c r="C113" s="1">
        <f>YEAR(W_カレンダー[[#This Row],[日付]])</f>
        <v>2023</v>
      </c>
      <c r="D113" s="1">
        <f>IF(W_カレンダー[[#This Row],[月]]&lt;=3,W_カレンダー[[#This Row],[暦年]]-1,W_カレンダー[[#This Row],[暦年]])</f>
        <v>2023</v>
      </c>
      <c r="E113" s="1" t="str">
        <f>IF(W_カレンダー[[#This Row],[月]]&lt;=3,"Q4",IF(W_カレンダー[[#This Row],[月]]&lt;=6,"Q1",IF(W_カレンダー[[#This Row],[月]]&lt;=9,"Q2","Q3")))</f>
        <v>Q2</v>
      </c>
    </row>
    <row r="114" spans="1:5" ht="18" customHeight="1" x14ac:dyDescent="0.25">
      <c r="A114" s="27">
        <v>45129</v>
      </c>
      <c r="B114" s="29">
        <f>MONTH(W_カレンダー[[#This Row],[日付]])</f>
        <v>7</v>
      </c>
      <c r="C114" s="1">
        <f>YEAR(W_カレンダー[[#This Row],[日付]])</f>
        <v>2023</v>
      </c>
      <c r="D114" s="1">
        <f>IF(W_カレンダー[[#This Row],[月]]&lt;=3,W_カレンダー[[#This Row],[暦年]]-1,W_カレンダー[[#This Row],[暦年]])</f>
        <v>2023</v>
      </c>
      <c r="E114" s="1" t="str">
        <f>IF(W_カレンダー[[#This Row],[月]]&lt;=3,"Q4",IF(W_カレンダー[[#This Row],[月]]&lt;=6,"Q1",IF(W_カレンダー[[#This Row],[月]]&lt;=9,"Q2","Q3")))</f>
        <v>Q2</v>
      </c>
    </row>
    <row r="115" spans="1:5" ht="18" customHeight="1" x14ac:dyDescent="0.25">
      <c r="A115" s="27">
        <v>45130</v>
      </c>
      <c r="B115" s="29">
        <f>MONTH(W_カレンダー[[#This Row],[日付]])</f>
        <v>7</v>
      </c>
      <c r="C115" s="1">
        <f>YEAR(W_カレンダー[[#This Row],[日付]])</f>
        <v>2023</v>
      </c>
      <c r="D115" s="1">
        <f>IF(W_カレンダー[[#This Row],[月]]&lt;=3,W_カレンダー[[#This Row],[暦年]]-1,W_カレンダー[[#This Row],[暦年]])</f>
        <v>2023</v>
      </c>
      <c r="E115" s="1" t="str">
        <f>IF(W_カレンダー[[#This Row],[月]]&lt;=3,"Q4",IF(W_カレンダー[[#This Row],[月]]&lt;=6,"Q1",IF(W_カレンダー[[#This Row],[月]]&lt;=9,"Q2","Q3")))</f>
        <v>Q2</v>
      </c>
    </row>
    <row r="116" spans="1:5" ht="18" customHeight="1" x14ac:dyDescent="0.25">
      <c r="A116" s="27">
        <v>45131</v>
      </c>
      <c r="B116" s="29">
        <f>MONTH(W_カレンダー[[#This Row],[日付]])</f>
        <v>7</v>
      </c>
      <c r="C116" s="1">
        <f>YEAR(W_カレンダー[[#This Row],[日付]])</f>
        <v>2023</v>
      </c>
      <c r="D116" s="1">
        <f>IF(W_カレンダー[[#This Row],[月]]&lt;=3,W_カレンダー[[#This Row],[暦年]]-1,W_カレンダー[[#This Row],[暦年]])</f>
        <v>2023</v>
      </c>
      <c r="E116" s="1" t="str">
        <f>IF(W_カレンダー[[#This Row],[月]]&lt;=3,"Q4",IF(W_カレンダー[[#This Row],[月]]&lt;=6,"Q1",IF(W_カレンダー[[#This Row],[月]]&lt;=9,"Q2","Q3")))</f>
        <v>Q2</v>
      </c>
    </row>
    <row r="117" spans="1:5" ht="18" customHeight="1" x14ac:dyDescent="0.25">
      <c r="A117" s="27">
        <v>45132</v>
      </c>
      <c r="B117" s="29">
        <f>MONTH(W_カレンダー[[#This Row],[日付]])</f>
        <v>7</v>
      </c>
      <c r="C117" s="1">
        <f>YEAR(W_カレンダー[[#This Row],[日付]])</f>
        <v>2023</v>
      </c>
      <c r="D117" s="1">
        <f>IF(W_カレンダー[[#This Row],[月]]&lt;=3,W_カレンダー[[#This Row],[暦年]]-1,W_カレンダー[[#This Row],[暦年]])</f>
        <v>2023</v>
      </c>
      <c r="E117" s="1" t="str">
        <f>IF(W_カレンダー[[#This Row],[月]]&lt;=3,"Q4",IF(W_カレンダー[[#This Row],[月]]&lt;=6,"Q1",IF(W_カレンダー[[#This Row],[月]]&lt;=9,"Q2","Q3")))</f>
        <v>Q2</v>
      </c>
    </row>
    <row r="118" spans="1:5" ht="18" customHeight="1" x14ac:dyDescent="0.25">
      <c r="A118" s="27">
        <v>45133</v>
      </c>
      <c r="B118" s="29">
        <f>MONTH(W_カレンダー[[#This Row],[日付]])</f>
        <v>7</v>
      </c>
      <c r="C118" s="1">
        <f>YEAR(W_カレンダー[[#This Row],[日付]])</f>
        <v>2023</v>
      </c>
      <c r="D118" s="1">
        <f>IF(W_カレンダー[[#This Row],[月]]&lt;=3,W_カレンダー[[#This Row],[暦年]]-1,W_カレンダー[[#This Row],[暦年]])</f>
        <v>2023</v>
      </c>
      <c r="E118" s="1" t="str">
        <f>IF(W_カレンダー[[#This Row],[月]]&lt;=3,"Q4",IF(W_カレンダー[[#This Row],[月]]&lt;=6,"Q1",IF(W_カレンダー[[#This Row],[月]]&lt;=9,"Q2","Q3")))</f>
        <v>Q2</v>
      </c>
    </row>
    <row r="119" spans="1:5" ht="18" customHeight="1" x14ac:dyDescent="0.25">
      <c r="A119" s="27">
        <v>45134</v>
      </c>
      <c r="B119" s="29">
        <f>MONTH(W_カレンダー[[#This Row],[日付]])</f>
        <v>7</v>
      </c>
      <c r="C119" s="1">
        <f>YEAR(W_カレンダー[[#This Row],[日付]])</f>
        <v>2023</v>
      </c>
      <c r="D119" s="1">
        <f>IF(W_カレンダー[[#This Row],[月]]&lt;=3,W_カレンダー[[#This Row],[暦年]]-1,W_カレンダー[[#This Row],[暦年]])</f>
        <v>2023</v>
      </c>
      <c r="E119" s="1" t="str">
        <f>IF(W_カレンダー[[#This Row],[月]]&lt;=3,"Q4",IF(W_カレンダー[[#This Row],[月]]&lt;=6,"Q1",IF(W_カレンダー[[#This Row],[月]]&lt;=9,"Q2","Q3")))</f>
        <v>Q2</v>
      </c>
    </row>
    <row r="120" spans="1:5" ht="18" customHeight="1" x14ac:dyDescent="0.25">
      <c r="A120" s="27">
        <v>45135</v>
      </c>
      <c r="B120" s="29">
        <f>MONTH(W_カレンダー[[#This Row],[日付]])</f>
        <v>7</v>
      </c>
      <c r="C120" s="1">
        <f>YEAR(W_カレンダー[[#This Row],[日付]])</f>
        <v>2023</v>
      </c>
      <c r="D120" s="1">
        <f>IF(W_カレンダー[[#This Row],[月]]&lt;=3,W_カレンダー[[#This Row],[暦年]]-1,W_カレンダー[[#This Row],[暦年]])</f>
        <v>2023</v>
      </c>
      <c r="E120" s="1" t="str">
        <f>IF(W_カレンダー[[#This Row],[月]]&lt;=3,"Q4",IF(W_カレンダー[[#This Row],[月]]&lt;=6,"Q1",IF(W_カレンダー[[#This Row],[月]]&lt;=9,"Q2","Q3")))</f>
        <v>Q2</v>
      </c>
    </row>
    <row r="121" spans="1:5" ht="18" customHeight="1" x14ac:dyDescent="0.25">
      <c r="A121" s="27">
        <v>45136</v>
      </c>
      <c r="B121" s="29">
        <f>MONTH(W_カレンダー[[#This Row],[日付]])</f>
        <v>7</v>
      </c>
      <c r="C121" s="1">
        <f>YEAR(W_カレンダー[[#This Row],[日付]])</f>
        <v>2023</v>
      </c>
      <c r="D121" s="1">
        <f>IF(W_カレンダー[[#This Row],[月]]&lt;=3,W_カレンダー[[#This Row],[暦年]]-1,W_カレンダー[[#This Row],[暦年]])</f>
        <v>2023</v>
      </c>
      <c r="E121" s="1" t="str">
        <f>IF(W_カレンダー[[#This Row],[月]]&lt;=3,"Q4",IF(W_カレンダー[[#This Row],[月]]&lt;=6,"Q1",IF(W_カレンダー[[#This Row],[月]]&lt;=9,"Q2","Q3")))</f>
        <v>Q2</v>
      </c>
    </row>
    <row r="122" spans="1:5" ht="18" customHeight="1" x14ac:dyDescent="0.25">
      <c r="A122" s="27">
        <v>45137</v>
      </c>
      <c r="B122" s="29">
        <f>MONTH(W_カレンダー[[#This Row],[日付]])</f>
        <v>7</v>
      </c>
      <c r="C122" s="1">
        <f>YEAR(W_カレンダー[[#This Row],[日付]])</f>
        <v>2023</v>
      </c>
      <c r="D122" s="1">
        <f>IF(W_カレンダー[[#This Row],[月]]&lt;=3,W_カレンダー[[#This Row],[暦年]]-1,W_カレンダー[[#This Row],[暦年]])</f>
        <v>2023</v>
      </c>
      <c r="E122" s="1" t="str">
        <f>IF(W_カレンダー[[#This Row],[月]]&lt;=3,"Q4",IF(W_カレンダー[[#This Row],[月]]&lt;=6,"Q1",IF(W_カレンダー[[#This Row],[月]]&lt;=9,"Q2","Q3")))</f>
        <v>Q2</v>
      </c>
    </row>
    <row r="123" spans="1:5" ht="18" customHeight="1" x14ac:dyDescent="0.25">
      <c r="A123" s="27">
        <v>45138</v>
      </c>
      <c r="B123" s="29">
        <f>MONTH(W_カレンダー[[#This Row],[日付]])</f>
        <v>7</v>
      </c>
      <c r="C123" s="1">
        <f>YEAR(W_カレンダー[[#This Row],[日付]])</f>
        <v>2023</v>
      </c>
      <c r="D123" s="1">
        <f>IF(W_カレンダー[[#This Row],[月]]&lt;=3,W_カレンダー[[#This Row],[暦年]]-1,W_カレンダー[[#This Row],[暦年]])</f>
        <v>2023</v>
      </c>
      <c r="E123" s="1" t="str">
        <f>IF(W_カレンダー[[#This Row],[月]]&lt;=3,"Q4",IF(W_カレンダー[[#This Row],[月]]&lt;=6,"Q1",IF(W_カレンダー[[#This Row],[月]]&lt;=9,"Q2","Q3")))</f>
        <v>Q2</v>
      </c>
    </row>
    <row r="124" spans="1:5" ht="18" customHeight="1" x14ac:dyDescent="0.25">
      <c r="A124" s="27">
        <v>45139</v>
      </c>
      <c r="B124" s="29">
        <f>MONTH(W_カレンダー[[#This Row],[日付]])</f>
        <v>8</v>
      </c>
      <c r="C124" s="1">
        <f>YEAR(W_カレンダー[[#This Row],[日付]])</f>
        <v>2023</v>
      </c>
      <c r="D124" s="1">
        <f>IF(W_カレンダー[[#This Row],[月]]&lt;=3,W_カレンダー[[#This Row],[暦年]]-1,W_カレンダー[[#This Row],[暦年]])</f>
        <v>2023</v>
      </c>
      <c r="E124" s="1" t="str">
        <f>IF(W_カレンダー[[#This Row],[月]]&lt;=3,"Q4",IF(W_カレンダー[[#This Row],[月]]&lt;=6,"Q1",IF(W_カレンダー[[#This Row],[月]]&lt;=9,"Q2","Q3")))</f>
        <v>Q2</v>
      </c>
    </row>
    <row r="125" spans="1:5" ht="18" customHeight="1" x14ac:dyDescent="0.25">
      <c r="A125" s="27">
        <v>45140</v>
      </c>
      <c r="B125" s="29">
        <f>MONTH(W_カレンダー[[#This Row],[日付]])</f>
        <v>8</v>
      </c>
      <c r="C125" s="1">
        <f>YEAR(W_カレンダー[[#This Row],[日付]])</f>
        <v>2023</v>
      </c>
      <c r="D125" s="1">
        <f>IF(W_カレンダー[[#This Row],[月]]&lt;=3,W_カレンダー[[#This Row],[暦年]]-1,W_カレンダー[[#This Row],[暦年]])</f>
        <v>2023</v>
      </c>
      <c r="E125" s="1" t="str">
        <f>IF(W_カレンダー[[#This Row],[月]]&lt;=3,"Q4",IF(W_カレンダー[[#This Row],[月]]&lt;=6,"Q1",IF(W_カレンダー[[#This Row],[月]]&lt;=9,"Q2","Q3")))</f>
        <v>Q2</v>
      </c>
    </row>
    <row r="126" spans="1:5" ht="18" customHeight="1" x14ac:dyDescent="0.25">
      <c r="A126" s="27">
        <v>45141</v>
      </c>
      <c r="B126" s="29">
        <f>MONTH(W_カレンダー[[#This Row],[日付]])</f>
        <v>8</v>
      </c>
      <c r="C126" s="1">
        <f>YEAR(W_カレンダー[[#This Row],[日付]])</f>
        <v>2023</v>
      </c>
      <c r="D126" s="1">
        <f>IF(W_カレンダー[[#This Row],[月]]&lt;=3,W_カレンダー[[#This Row],[暦年]]-1,W_カレンダー[[#This Row],[暦年]])</f>
        <v>2023</v>
      </c>
      <c r="E126" s="1" t="str">
        <f>IF(W_カレンダー[[#This Row],[月]]&lt;=3,"Q4",IF(W_カレンダー[[#This Row],[月]]&lt;=6,"Q1",IF(W_カレンダー[[#This Row],[月]]&lt;=9,"Q2","Q3")))</f>
        <v>Q2</v>
      </c>
    </row>
    <row r="127" spans="1:5" ht="18" customHeight="1" x14ac:dyDescent="0.25">
      <c r="A127" s="27">
        <v>45142</v>
      </c>
      <c r="B127" s="29">
        <f>MONTH(W_カレンダー[[#This Row],[日付]])</f>
        <v>8</v>
      </c>
      <c r="C127" s="1">
        <f>YEAR(W_カレンダー[[#This Row],[日付]])</f>
        <v>2023</v>
      </c>
      <c r="D127" s="1">
        <f>IF(W_カレンダー[[#This Row],[月]]&lt;=3,W_カレンダー[[#This Row],[暦年]]-1,W_カレンダー[[#This Row],[暦年]])</f>
        <v>2023</v>
      </c>
      <c r="E127" s="1" t="str">
        <f>IF(W_カレンダー[[#This Row],[月]]&lt;=3,"Q4",IF(W_カレンダー[[#This Row],[月]]&lt;=6,"Q1",IF(W_カレンダー[[#This Row],[月]]&lt;=9,"Q2","Q3")))</f>
        <v>Q2</v>
      </c>
    </row>
    <row r="128" spans="1:5" ht="18" customHeight="1" x14ac:dyDescent="0.25">
      <c r="A128" s="27">
        <v>45143</v>
      </c>
      <c r="B128" s="29">
        <f>MONTH(W_カレンダー[[#This Row],[日付]])</f>
        <v>8</v>
      </c>
      <c r="C128" s="1">
        <f>YEAR(W_カレンダー[[#This Row],[日付]])</f>
        <v>2023</v>
      </c>
      <c r="D128" s="1">
        <f>IF(W_カレンダー[[#This Row],[月]]&lt;=3,W_カレンダー[[#This Row],[暦年]]-1,W_カレンダー[[#This Row],[暦年]])</f>
        <v>2023</v>
      </c>
      <c r="E128" s="1" t="str">
        <f>IF(W_カレンダー[[#This Row],[月]]&lt;=3,"Q4",IF(W_カレンダー[[#This Row],[月]]&lt;=6,"Q1",IF(W_カレンダー[[#This Row],[月]]&lt;=9,"Q2","Q3")))</f>
        <v>Q2</v>
      </c>
    </row>
    <row r="129" spans="1:5" ht="18" customHeight="1" x14ac:dyDescent="0.25">
      <c r="A129" s="27">
        <v>45144</v>
      </c>
      <c r="B129" s="29">
        <f>MONTH(W_カレンダー[[#This Row],[日付]])</f>
        <v>8</v>
      </c>
      <c r="C129" s="1">
        <f>YEAR(W_カレンダー[[#This Row],[日付]])</f>
        <v>2023</v>
      </c>
      <c r="D129" s="1">
        <f>IF(W_カレンダー[[#This Row],[月]]&lt;=3,W_カレンダー[[#This Row],[暦年]]-1,W_カレンダー[[#This Row],[暦年]])</f>
        <v>2023</v>
      </c>
      <c r="E129" s="1" t="str">
        <f>IF(W_カレンダー[[#This Row],[月]]&lt;=3,"Q4",IF(W_カレンダー[[#This Row],[月]]&lt;=6,"Q1",IF(W_カレンダー[[#This Row],[月]]&lt;=9,"Q2","Q3")))</f>
        <v>Q2</v>
      </c>
    </row>
    <row r="130" spans="1:5" ht="18" customHeight="1" x14ac:dyDescent="0.25">
      <c r="A130" s="27">
        <v>45145</v>
      </c>
      <c r="B130" s="29">
        <f>MONTH(W_カレンダー[[#This Row],[日付]])</f>
        <v>8</v>
      </c>
      <c r="C130" s="1">
        <f>YEAR(W_カレンダー[[#This Row],[日付]])</f>
        <v>2023</v>
      </c>
      <c r="D130" s="1">
        <f>IF(W_カレンダー[[#This Row],[月]]&lt;=3,W_カレンダー[[#This Row],[暦年]]-1,W_カレンダー[[#This Row],[暦年]])</f>
        <v>2023</v>
      </c>
      <c r="E130" s="1" t="str">
        <f>IF(W_カレンダー[[#This Row],[月]]&lt;=3,"Q4",IF(W_カレンダー[[#This Row],[月]]&lt;=6,"Q1",IF(W_カレンダー[[#This Row],[月]]&lt;=9,"Q2","Q3")))</f>
        <v>Q2</v>
      </c>
    </row>
    <row r="131" spans="1:5" ht="18" customHeight="1" x14ac:dyDescent="0.25">
      <c r="A131" s="27">
        <v>45146</v>
      </c>
      <c r="B131" s="29">
        <f>MONTH(W_カレンダー[[#This Row],[日付]])</f>
        <v>8</v>
      </c>
      <c r="C131" s="1">
        <f>YEAR(W_カレンダー[[#This Row],[日付]])</f>
        <v>2023</v>
      </c>
      <c r="D131" s="1">
        <f>IF(W_カレンダー[[#This Row],[月]]&lt;=3,W_カレンダー[[#This Row],[暦年]]-1,W_カレンダー[[#This Row],[暦年]])</f>
        <v>2023</v>
      </c>
      <c r="E131" s="1" t="str">
        <f>IF(W_カレンダー[[#This Row],[月]]&lt;=3,"Q4",IF(W_カレンダー[[#This Row],[月]]&lt;=6,"Q1",IF(W_カレンダー[[#This Row],[月]]&lt;=9,"Q2","Q3")))</f>
        <v>Q2</v>
      </c>
    </row>
    <row r="132" spans="1:5" ht="18" customHeight="1" x14ac:dyDescent="0.25">
      <c r="A132" s="27">
        <v>45147</v>
      </c>
      <c r="B132" s="29">
        <f>MONTH(W_カレンダー[[#This Row],[日付]])</f>
        <v>8</v>
      </c>
      <c r="C132" s="1">
        <f>YEAR(W_カレンダー[[#This Row],[日付]])</f>
        <v>2023</v>
      </c>
      <c r="D132" s="1">
        <f>IF(W_カレンダー[[#This Row],[月]]&lt;=3,W_カレンダー[[#This Row],[暦年]]-1,W_カレンダー[[#This Row],[暦年]])</f>
        <v>2023</v>
      </c>
      <c r="E132" s="1" t="str">
        <f>IF(W_カレンダー[[#This Row],[月]]&lt;=3,"Q4",IF(W_カレンダー[[#This Row],[月]]&lt;=6,"Q1",IF(W_カレンダー[[#This Row],[月]]&lt;=9,"Q2","Q3")))</f>
        <v>Q2</v>
      </c>
    </row>
    <row r="133" spans="1:5" ht="18" customHeight="1" x14ac:dyDescent="0.25">
      <c r="A133" s="27">
        <v>45148</v>
      </c>
      <c r="B133" s="29">
        <f>MONTH(W_カレンダー[[#This Row],[日付]])</f>
        <v>8</v>
      </c>
      <c r="C133" s="1">
        <f>YEAR(W_カレンダー[[#This Row],[日付]])</f>
        <v>2023</v>
      </c>
      <c r="D133" s="1">
        <f>IF(W_カレンダー[[#This Row],[月]]&lt;=3,W_カレンダー[[#This Row],[暦年]]-1,W_カレンダー[[#This Row],[暦年]])</f>
        <v>2023</v>
      </c>
      <c r="E133" s="1" t="str">
        <f>IF(W_カレンダー[[#This Row],[月]]&lt;=3,"Q4",IF(W_カレンダー[[#This Row],[月]]&lt;=6,"Q1",IF(W_カレンダー[[#This Row],[月]]&lt;=9,"Q2","Q3")))</f>
        <v>Q2</v>
      </c>
    </row>
    <row r="134" spans="1:5" ht="18" customHeight="1" x14ac:dyDescent="0.25">
      <c r="A134" s="27">
        <v>45149</v>
      </c>
      <c r="B134" s="29">
        <f>MONTH(W_カレンダー[[#This Row],[日付]])</f>
        <v>8</v>
      </c>
      <c r="C134" s="1">
        <f>YEAR(W_カレンダー[[#This Row],[日付]])</f>
        <v>2023</v>
      </c>
      <c r="D134" s="1">
        <f>IF(W_カレンダー[[#This Row],[月]]&lt;=3,W_カレンダー[[#This Row],[暦年]]-1,W_カレンダー[[#This Row],[暦年]])</f>
        <v>2023</v>
      </c>
      <c r="E134" s="1" t="str">
        <f>IF(W_カレンダー[[#This Row],[月]]&lt;=3,"Q4",IF(W_カレンダー[[#This Row],[月]]&lt;=6,"Q1",IF(W_カレンダー[[#This Row],[月]]&lt;=9,"Q2","Q3")))</f>
        <v>Q2</v>
      </c>
    </row>
    <row r="135" spans="1:5" ht="18" customHeight="1" x14ac:dyDescent="0.25">
      <c r="A135" s="27">
        <v>45150</v>
      </c>
      <c r="B135" s="29">
        <f>MONTH(W_カレンダー[[#This Row],[日付]])</f>
        <v>8</v>
      </c>
      <c r="C135" s="1">
        <f>YEAR(W_カレンダー[[#This Row],[日付]])</f>
        <v>2023</v>
      </c>
      <c r="D135" s="1">
        <f>IF(W_カレンダー[[#This Row],[月]]&lt;=3,W_カレンダー[[#This Row],[暦年]]-1,W_カレンダー[[#This Row],[暦年]])</f>
        <v>2023</v>
      </c>
      <c r="E135" s="1" t="str">
        <f>IF(W_カレンダー[[#This Row],[月]]&lt;=3,"Q4",IF(W_カレンダー[[#This Row],[月]]&lt;=6,"Q1",IF(W_カレンダー[[#This Row],[月]]&lt;=9,"Q2","Q3")))</f>
        <v>Q2</v>
      </c>
    </row>
    <row r="136" spans="1:5" ht="18" customHeight="1" x14ac:dyDescent="0.25">
      <c r="A136" s="27">
        <v>45151</v>
      </c>
      <c r="B136" s="29">
        <f>MONTH(W_カレンダー[[#This Row],[日付]])</f>
        <v>8</v>
      </c>
      <c r="C136" s="1">
        <f>YEAR(W_カレンダー[[#This Row],[日付]])</f>
        <v>2023</v>
      </c>
      <c r="D136" s="1">
        <f>IF(W_カレンダー[[#This Row],[月]]&lt;=3,W_カレンダー[[#This Row],[暦年]]-1,W_カレンダー[[#This Row],[暦年]])</f>
        <v>2023</v>
      </c>
      <c r="E136" s="1" t="str">
        <f>IF(W_カレンダー[[#This Row],[月]]&lt;=3,"Q4",IF(W_カレンダー[[#This Row],[月]]&lt;=6,"Q1",IF(W_カレンダー[[#This Row],[月]]&lt;=9,"Q2","Q3")))</f>
        <v>Q2</v>
      </c>
    </row>
    <row r="137" spans="1:5" ht="18" customHeight="1" x14ac:dyDescent="0.25">
      <c r="A137" s="27">
        <v>45152</v>
      </c>
      <c r="B137" s="29">
        <f>MONTH(W_カレンダー[[#This Row],[日付]])</f>
        <v>8</v>
      </c>
      <c r="C137" s="1">
        <f>YEAR(W_カレンダー[[#This Row],[日付]])</f>
        <v>2023</v>
      </c>
      <c r="D137" s="1">
        <f>IF(W_カレンダー[[#This Row],[月]]&lt;=3,W_カレンダー[[#This Row],[暦年]]-1,W_カレンダー[[#This Row],[暦年]])</f>
        <v>2023</v>
      </c>
      <c r="E137" s="1" t="str">
        <f>IF(W_カレンダー[[#This Row],[月]]&lt;=3,"Q4",IF(W_カレンダー[[#This Row],[月]]&lt;=6,"Q1",IF(W_カレンダー[[#This Row],[月]]&lt;=9,"Q2","Q3")))</f>
        <v>Q2</v>
      </c>
    </row>
    <row r="138" spans="1:5" ht="18" customHeight="1" x14ac:dyDescent="0.25">
      <c r="A138" s="27">
        <v>45153</v>
      </c>
      <c r="B138" s="29">
        <f>MONTH(W_カレンダー[[#This Row],[日付]])</f>
        <v>8</v>
      </c>
      <c r="C138" s="1">
        <f>YEAR(W_カレンダー[[#This Row],[日付]])</f>
        <v>2023</v>
      </c>
      <c r="D138" s="1">
        <f>IF(W_カレンダー[[#This Row],[月]]&lt;=3,W_カレンダー[[#This Row],[暦年]]-1,W_カレンダー[[#This Row],[暦年]])</f>
        <v>2023</v>
      </c>
      <c r="E138" s="1" t="str">
        <f>IF(W_カレンダー[[#This Row],[月]]&lt;=3,"Q4",IF(W_カレンダー[[#This Row],[月]]&lt;=6,"Q1",IF(W_カレンダー[[#This Row],[月]]&lt;=9,"Q2","Q3")))</f>
        <v>Q2</v>
      </c>
    </row>
    <row r="139" spans="1:5" ht="18" customHeight="1" x14ac:dyDescent="0.25">
      <c r="A139" s="27">
        <v>45154</v>
      </c>
      <c r="B139" s="29">
        <f>MONTH(W_カレンダー[[#This Row],[日付]])</f>
        <v>8</v>
      </c>
      <c r="C139" s="1">
        <f>YEAR(W_カレンダー[[#This Row],[日付]])</f>
        <v>2023</v>
      </c>
      <c r="D139" s="1">
        <f>IF(W_カレンダー[[#This Row],[月]]&lt;=3,W_カレンダー[[#This Row],[暦年]]-1,W_カレンダー[[#This Row],[暦年]])</f>
        <v>2023</v>
      </c>
      <c r="E139" s="1" t="str">
        <f>IF(W_カレンダー[[#This Row],[月]]&lt;=3,"Q4",IF(W_カレンダー[[#This Row],[月]]&lt;=6,"Q1",IF(W_カレンダー[[#This Row],[月]]&lt;=9,"Q2","Q3")))</f>
        <v>Q2</v>
      </c>
    </row>
    <row r="140" spans="1:5" ht="18" customHeight="1" x14ac:dyDescent="0.25">
      <c r="A140" s="27">
        <v>45155</v>
      </c>
      <c r="B140" s="29">
        <f>MONTH(W_カレンダー[[#This Row],[日付]])</f>
        <v>8</v>
      </c>
      <c r="C140" s="1">
        <f>YEAR(W_カレンダー[[#This Row],[日付]])</f>
        <v>2023</v>
      </c>
      <c r="D140" s="1">
        <f>IF(W_カレンダー[[#This Row],[月]]&lt;=3,W_カレンダー[[#This Row],[暦年]]-1,W_カレンダー[[#This Row],[暦年]])</f>
        <v>2023</v>
      </c>
      <c r="E140" s="1" t="str">
        <f>IF(W_カレンダー[[#This Row],[月]]&lt;=3,"Q4",IF(W_カレンダー[[#This Row],[月]]&lt;=6,"Q1",IF(W_カレンダー[[#This Row],[月]]&lt;=9,"Q2","Q3")))</f>
        <v>Q2</v>
      </c>
    </row>
    <row r="141" spans="1:5" ht="18" customHeight="1" x14ac:dyDescent="0.25">
      <c r="A141" s="27">
        <v>45156</v>
      </c>
      <c r="B141" s="29">
        <f>MONTH(W_カレンダー[[#This Row],[日付]])</f>
        <v>8</v>
      </c>
      <c r="C141" s="1">
        <f>YEAR(W_カレンダー[[#This Row],[日付]])</f>
        <v>2023</v>
      </c>
      <c r="D141" s="1">
        <f>IF(W_カレンダー[[#This Row],[月]]&lt;=3,W_カレンダー[[#This Row],[暦年]]-1,W_カレンダー[[#This Row],[暦年]])</f>
        <v>2023</v>
      </c>
      <c r="E141" s="1" t="str">
        <f>IF(W_カレンダー[[#This Row],[月]]&lt;=3,"Q4",IF(W_カレンダー[[#This Row],[月]]&lt;=6,"Q1",IF(W_カレンダー[[#This Row],[月]]&lt;=9,"Q2","Q3")))</f>
        <v>Q2</v>
      </c>
    </row>
    <row r="142" spans="1:5" ht="18" customHeight="1" x14ac:dyDescent="0.25">
      <c r="A142" s="27">
        <v>45157</v>
      </c>
      <c r="B142" s="29">
        <f>MONTH(W_カレンダー[[#This Row],[日付]])</f>
        <v>8</v>
      </c>
      <c r="C142" s="1">
        <f>YEAR(W_カレンダー[[#This Row],[日付]])</f>
        <v>2023</v>
      </c>
      <c r="D142" s="1">
        <f>IF(W_カレンダー[[#This Row],[月]]&lt;=3,W_カレンダー[[#This Row],[暦年]]-1,W_カレンダー[[#This Row],[暦年]])</f>
        <v>2023</v>
      </c>
      <c r="E142" s="1" t="str">
        <f>IF(W_カレンダー[[#This Row],[月]]&lt;=3,"Q4",IF(W_カレンダー[[#This Row],[月]]&lt;=6,"Q1",IF(W_カレンダー[[#This Row],[月]]&lt;=9,"Q2","Q3")))</f>
        <v>Q2</v>
      </c>
    </row>
    <row r="143" spans="1:5" ht="18" customHeight="1" x14ac:dyDescent="0.25">
      <c r="A143" s="27">
        <v>45158</v>
      </c>
      <c r="B143" s="29">
        <f>MONTH(W_カレンダー[[#This Row],[日付]])</f>
        <v>8</v>
      </c>
      <c r="C143" s="1">
        <f>YEAR(W_カレンダー[[#This Row],[日付]])</f>
        <v>2023</v>
      </c>
      <c r="D143" s="1">
        <f>IF(W_カレンダー[[#This Row],[月]]&lt;=3,W_カレンダー[[#This Row],[暦年]]-1,W_カレンダー[[#This Row],[暦年]])</f>
        <v>2023</v>
      </c>
      <c r="E143" s="1" t="str">
        <f>IF(W_カレンダー[[#This Row],[月]]&lt;=3,"Q4",IF(W_カレンダー[[#This Row],[月]]&lt;=6,"Q1",IF(W_カレンダー[[#This Row],[月]]&lt;=9,"Q2","Q3")))</f>
        <v>Q2</v>
      </c>
    </row>
    <row r="144" spans="1:5" ht="18" customHeight="1" x14ac:dyDescent="0.25">
      <c r="A144" s="27">
        <v>45159</v>
      </c>
      <c r="B144" s="29">
        <f>MONTH(W_カレンダー[[#This Row],[日付]])</f>
        <v>8</v>
      </c>
      <c r="C144" s="1">
        <f>YEAR(W_カレンダー[[#This Row],[日付]])</f>
        <v>2023</v>
      </c>
      <c r="D144" s="1">
        <f>IF(W_カレンダー[[#This Row],[月]]&lt;=3,W_カレンダー[[#This Row],[暦年]]-1,W_カレンダー[[#This Row],[暦年]])</f>
        <v>2023</v>
      </c>
      <c r="E144" s="1" t="str">
        <f>IF(W_カレンダー[[#This Row],[月]]&lt;=3,"Q4",IF(W_カレンダー[[#This Row],[月]]&lt;=6,"Q1",IF(W_カレンダー[[#This Row],[月]]&lt;=9,"Q2","Q3")))</f>
        <v>Q2</v>
      </c>
    </row>
    <row r="145" spans="1:5" ht="18" customHeight="1" x14ac:dyDescent="0.25">
      <c r="A145" s="27">
        <v>45160</v>
      </c>
      <c r="B145" s="29">
        <f>MONTH(W_カレンダー[[#This Row],[日付]])</f>
        <v>8</v>
      </c>
      <c r="C145" s="1">
        <f>YEAR(W_カレンダー[[#This Row],[日付]])</f>
        <v>2023</v>
      </c>
      <c r="D145" s="1">
        <f>IF(W_カレンダー[[#This Row],[月]]&lt;=3,W_カレンダー[[#This Row],[暦年]]-1,W_カレンダー[[#This Row],[暦年]])</f>
        <v>2023</v>
      </c>
      <c r="E145" s="1" t="str">
        <f>IF(W_カレンダー[[#This Row],[月]]&lt;=3,"Q4",IF(W_カレンダー[[#This Row],[月]]&lt;=6,"Q1",IF(W_カレンダー[[#This Row],[月]]&lt;=9,"Q2","Q3")))</f>
        <v>Q2</v>
      </c>
    </row>
    <row r="146" spans="1:5" ht="18" customHeight="1" x14ac:dyDescent="0.25">
      <c r="A146" s="27">
        <v>45161</v>
      </c>
      <c r="B146" s="29">
        <f>MONTH(W_カレンダー[[#This Row],[日付]])</f>
        <v>8</v>
      </c>
      <c r="C146" s="1">
        <f>YEAR(W_カレンダー[[#This Row],[日付]])</f>
        <v>2023</v>
      </c>
      <c r="D146" s="1">
        <f>IF(W_カレンダー[[#This Row],[月]]&lt;=3,W_カレンダー[[#This Row],[暦年]]-1,W_カレンダー[[#This Row],[暦年]])</f>
        <v>2023</v>
      </c>
      <c r="E146" s="1" t="str">
        <f>IF(W_カレンダー[[#This Row],[月]]&lt;=3,"Q4",IF(W_カレンダー[[#This Row],[月]]&lt;=6,"Q1",IF(W_カレンダー[[#This Row],[月]]&lt;=9,"Q2","Q3")))</f>
        <v>Q2</v>
      </c>
    </row>
    <row r="147" spans="1:5" ht="18" customHeight="1" x14ac:dyDescent="0.25">
      <c r="A147" s="27">
        <v>45162</v>
      </c>
      <c r="B147" s="29">
        <f>MONTH(W_カレンダー[[#This Row],[日付]])</f>
        <v>8</v>
      </c>
      <c r="C147" s="1">
        <f>YEAR(W_カレンダー[[#This Row],[日付]])</f>
        <v>2023</v>
      </c>
      <c r="D147" s="1">
        <f>IF(W_カレンダー[[#This Row],[月]]&lt;=3,W_カレンダー[[#This Row],[暦年]]-1,W_カレンダー[[#This Row],[暦年]])</f>
        <v>2023</v>
      </c>
      <c r="E147" s="1" t="str">
        <f>IF(W_カレンダー[[#This Row],[月]]&lt;=3,"Q4",IF(W_カレンダー[[#This Row],[月]]&lt;=6,"Q1",IF(W_カレンダー[[#This Row],[月]]&lt;=9,"Q2","Q3")))</f>
        <v>Q2</v>
      </c>
    </row>
    <row r="148" spans="1:5" ht="18" customHeight="1" x14ac:dyDescent="0.25">
      <c r="A148" s="27">
        <v>45163</v>
      </c>
      <c r="B148" s="29">
        <f>MONTH(W_カレンダー[[#This Row],[日付]])</f>
        <v>8</v>
      </c>
      <c r="C148" s="1">
        <f>YEAR(W_カレンダー[[#This Row],[日付]])</f>
        <v>2023</v>
      </c>
      <c r="D148" s="1">
        <f>IF(W_カレンダー[[#This Row],[月]]&lt;=3,W_カレンダー[[#This Row],[暦年]]-1,W_カレンダー[[#This Row],[暦年]])</f>
        <v>2023</v>
      </c>
      <c r="E148" s="1" t="str">
        <f>IF(W_カレンダー[[#This Row],[月]]&lt;=3,"Q4",IF(W_カレンダー[[#This Row],[月]]&lt;=6,"Q1",IF(W_カレンダー[[#This Row],[月]]&lt;=9,"Q2","Q3")))</f>
        <v>Q2</v>
      </c>
    </row>
    <row r="149" spans="1:5" ht="18" customHeight="1" x14ac:dyDescent="0.25">
      <c r="A149" s="27">
        <v>45164</v>
      </c>
      <c r="B149" s="29">
        <f>MONTH(W_カレンダー[[#This Row],[日付]])</f>
        <v>8</v>
      </c>
      <c r="C149" s="1">
        <f>YEAR(W_カレンダー[[#This Row],[日付]])</f>
        <v>2023</v>
      </c>
      <c r="D149" s="1">
        <f>IF(W_カレンダー[[#This Row],[月]]&lt;=3,W_カレンダー[[#This Row],[暦年]]-1,W_カレンダー[[#This Row],[暦年]])</f>
        <v>2023</v>
      </c>
      <c r="E149" s="1" t="str">
        <f>IF(W_カレンダー[[#This Row],[月]]&lt;=3,"Q4",IF(W_カレンダー[[#This Row],[月]]&lt;=6,"Q1",IF(W_カレンダー[[#This Row],[月]]&lt;=9,"Q2","Q3")))</f>
        <v>Q2</v>
      </c>
    </row>
    <row r="150" spans="1:5" ht="18" customHeight="1" x14ac:dyDescent="0.25">
      <c r="A150" s="27">
        <v>45165</v>
      </c>
      <c r="B150" s="29">
        <f>MONTH(W_カレンダー[[#This Row],[日付]])</f>
        <v>8</v>
      </c>
      <c r="C150" s="1">
        <f>YEAR(W_カレンダー[[#This Row],[日付]])</f>
        <v>2023</v>
      </c>
      <c r="D150" s="1">
        <f>IF(W_カレンダー[[#This Row],[月]]&lt;=3,W_カレンダー[[#This Row],[暦年]]-1,W_カレンダー[[#This Row],[暦年]])</f>
        <v>2023</v>
      </c>
      <c r="E150" s="1" t="str">
        <f>IF(W_カレンダー[[#This Row],[月]]&lt;=3,"Q4",IF(W_カレンダー[[#This Row],[月]]&lt;=6,"Q1",IF(W_カレンダー[[#This Row],[月]]&lt;=9,"Q2","Q3")))</f>
        <v>Q2</v>
      </c>
    </row>
    <row r="151" spans="1:5" ht="18" customHeight="1" x14ac:dyDescent="0.25">
      <c r="A151" s="27">
        <v>45166</v>
      </c>
      <c r="B151" s="29">
        <f>MONTH(W_カレンダー[[#This Row],[日付]])</f>
        <v>8</v>
      </c>
      <c r="C151" s="1">
        <f>YEAR(W_カレンダー[[#This Row],[日付]])</f>
        <v>2023</v>
      </c>
      <c r="D151" s="1">
        <f>IF(W_カレンダー[[#This Row],[月]]&lt;=3,W_カレンダー[[#This Row],[暦年]]-1,W_カレンダー[[#This Row],[暦年]])</f>
        <v>2023</v>
      </c>
      <c r="E151" s="1" t="str">
        <f>IF(W_カレンダー[[#This Row],[月]]&lt;=3,"Q4",IF(W_カレンダー[[#This Row],[月]]&lt;=6,"Q1",IF(W_カレンダー[[#This Row],[月]]&lt;=9,"Q2","Q3")))</f>
        <v>Q2</v>
      </c>
    </row>
    <row r="152" spans="1:5" ht="18" customHeight="1" x14ac:dyDescent="0.25">
      <c r="A152" s="27">
        <v>45167</v>
      </c>
      <c r="B152" s="29">
        <f>MONTH(W_カレンダー[[#This Row],[日付]])</f>
        <v>8</v>
      </c>
      <c r="C152" s="1">
        <f>YEAR(W_カレンダー[[#This Row],[日付]])</f>
        <v>2023</v>
      </c>
      <c r="D152" s="1">
        <f>IF(W_カレンダー[[#This Row],[月]]&lt;=3,W_カレンダー[[#This Row],[暦年]]-1,W_カレンダー[[#This Row],[暦年]])</f>
        <v>2023</v>
      </c>
      <c r="E152" s="1" t="str">
        <f>IF(W_カレンダー[[#This Row],[月]]&lt;=3,"Q4",IF(W_カレンダー[[#This Row],[月]]&lt;=6,"Q1",IF(W_カレンダー[[#This Row],[月]]&lt;=9,"Q2","Q3")))</f>
        <v>Q2</v>
      </c>
    </row>
    <row r="153" spans="1:5" ht="18" customHeight="1" x14ac:dyDescent="0.25">
      <c r="A153" s="27">
        <v>45168</v>
      </c>
      <c r="B153" s="29">
        <f>MONTH(W_カレンダー[[#This Row],[日付]])</f>
        <v>8</v>
      </c>
      <c r="C153" s="1">
        <f>YEAR(W_カレンダー[[#This Row],[日付]])</f>
        <v>2023</v>
      </c>
      <c r="D153" s="1">
        <f>IF(W_カレンダー[[#This Row],[月]]&lt;=3,W_カレンダー[[#This Row],[暦年]]-1,W_カレンダー[[#This Row],[暦年]])</f>
        <v>2023</v>
      </c>
      <c r="E153" s="1" t="str">
        <f>IF(W_カレンダー[[#This Row],[月]]&lt;=3,"Q4",IF(W_カレンダー[[#This Row],[月]]&lt;=6,"Q1",IF(W_カレンダー[[#This Row],[月]]&lt;=9,"Q2","Q3")))</f>
        <v>Q2</v>
      </c>
    </row>
    <row r="154" spans="1:5" ht="18" customHeight="1" x14ac:dyDescent="0.25">
      <c r="A154" s="27">
        <v>45169</v>
      </c>
      <c r="B154" s="29">
        <f>MONTH(W_カレンダー[[#This Row],[日付]])</f>
        <v>8</v>
      </c>
      <c r="C154" s="1">
        <f>YEAR(W_カレンダー[[#This Row],[日付]])</f>
        <v>2023</v>
      </c>
      <c r="D154" s="1">
        <f>IF(W_カレンダー[[#This Row],[月]]&lt;=3,W_カレンダー[[#This Row],[暦年]]-1,W_カレンダー[[#This Row],[暦年]])</f>
        <v>2023</v>
      </c>
      <c r="E154" s="1" t="str">
        <f>IF(W_カレンダー[[#This Row],[月]]&lt;=3,"Q4",IF(W_カレンダー[[#This Row],[月]]&lt;=6,"Q1",IF(W_カレンダー[[#This Row],[月]]&lt;=9,"Q2","Q3")))</f>
        <v>Q2</v>
      </c>
    </row>
    <row r="155" spans="1:5" ht="18" customHeight="1" x14ac:dyDescent="0.25">
      <c r="A155" s="27">
        <v>45170</v>
      </c>
      <c r="B155" s="29">
        <f>MONTH(W_カレンダー[[#This Row],[日付]])</f>
        <v>9</v>
      </c>
      <c r="C155" s="1">
        <f>YEAR(W_カレンダー[[#This Row],[日付]])</f>
        <v>2023</v>
      </c>
      <c r="D155" s="1">
        <f>IF(W_カレンダー[[#This Row],[月]]&lt;=3,W_カレンダー[[#This Row],[暦年]]-1,W_カレンダー[[#This Row],[暦年]])</f>
        <v>2023</v>
      </c>
      <c r="E155" s="1" t="str">
        <f>IF(W_カレンダー[[#This Row],[月]]&lt;=3,"Q4",IF(W_カレンダー[[#This Row],[月]]&lt;=6,"Q1",IF(W_カレンダー[[#This Row],[月]]&lt;=9,"Q2","Q3")))</f>
        <v>Q2</v>
      </c>
    </row>
    <row r="156" spans="1:5" ht="18" customHeight="1" x14ac:dyDescent="0.25">
      <c r="A156" s="27">
        <v>45171</v>
      </c>
      <c r="B156" s="29">
        <f>MONTH(W_カレンダー[[#This Row],[日付]])</f>
        <v>9</v>
      </c>
      <c r="C156" s="1">
        <f>YEAR(W_カレンダー[[#This Row],[日付]])</f>
        <v>2023</v>
      </c>
      <c r="D156" s="1">
        <f>IF(W_カレンダー[[#This Row],[月]]&lt;=3,W_カレンダー[[#This Row],[暦年]]-1,W_カレンダー[[#This Row],[暦年]])</f>
        <v>2023</v>
      </c>
      <c r="E156" s="1" t="str">
        <f>IF(W_カレンダー[[#This Row],[月]]&lt;=3,"Q4",IF(W_カレンダー[[#This Row],[月]]&lt;=6,"Q1",IF(W_カレンダー[[#This Row],[月]]&lt;=9,"Q2","Q3")))</f>
        <v>Q2</v>
      </c>
    </row>
    <row r="157" spans="1:5" ht="18" customHeight="1" x14ac:dyDescent="0.25">
      <c r="A157" s="27">
        <v>45172</v>
      </c>
      <c r="B157" s="29">
        <f>MONTH(W_カレンダー[[#This Row],[日付]])</f>
        <v>9</v>
      </c>
      <c r="C157" s="1">
        <f>YEAR(W_カレンダー[[#This Row],[日付]])</f>
        <v>2023</v>
      </c>
      <c r="D157" s="1">
        <f>IF(W_カレンダー[[#This Row],[月]]&lt;=3,W_カレンダー[[#This Row],[暦年]]-1,W_カレンダー[[#This Row],[暦年]])</f>
        <v>2023</v>
      </c>
      <c r="E157" s="1" t="str">
        <f>IF(W_カレンダー[[#This Row],[月]]&lt;=3,"Q4",IF(W_カレンダー[[#This Row],[月]]&lt;=6,"Q1",IF(W_カレンダー[[#This Row],[月]]&lt;=9,"Q2","Q3")))</f>
        <v>Q2</v>
      </c>
    </row>
    <row r="158" spans="1:5" ht="18" customHeight="1" x14ac:dyDescent="0.25">
      <c r="A158" s="27">
        <v>45173</v>
      </c>
      <c r="B158" s="29">
        <f>MONTH(W_カレンダー[[#This Row],[日付]])</f>
        <v>9</v>
      </c>
      <c r="C158" s="1">
        <f>YEAR(W_カレンダー[[#This Row],[日付]])</f>
        <v>2023</v>
      </c>
      <c r="D158" s="1">
        <f>IF(W_カレンダー[[#This Row],[月]]&lt;=3,W_カレンダー[[#This Row],[暦年]]-1,W_カレンダー[[#This Row],[暦年]])</f>
        <v>2023</v>
      </c>
      <c r="E158" s="1" t="str">
        <f>IF(W_カレンダー[[#This Row],[月]]&lt;=3,"Q4",IF(W_カレンダー[[#This Row],[月]]&lt;=6,"Q1",IF(W_カレンダー[[#This Row],[月]]&lt;=9,"Q2","Q3")))</f>
        <v>Q2</v>
      </c>
    </row>
    <row r="159" spans="1:5" ht="18" customHeight="1" x14ac:dyDescent="0.25">
      <c r="A159" s="27">
        <v>45174</v>
      </c>
      <c r="B159" s="29">
        <f>MONTH(W_カレンダー[[#This Row],[日付]])</f>
        <v>9</v>
      </c>
      <c r="C159" s="1">
        <f>YEAR(W_カレンダー[[#This Row],[日付]])</f>
        <v>2023</v>
      </c>
      <c r="D159" s="1">
        <f>IF(W_カレンダー[[#This Row],[月]]&lt;=3,W_カレンダー[[#This Row],[暦年]]-1,W_カレンダー[[#This Row],[暦年]])</f>
        <v>2023</v>
      </c>
      <c r="E159" s="1" t="str">
        <f>IF(W_カレンダー[[#This Row],[月]]&lt;=3,"Q4",IF(W_カレンダー[[#This Row],[月]]&lt;=6,"Q1",IF(W_カレンダー[[#This Row],[月]]&lt;=9,"Q2","Q3")))</f>
        <v>Q2</v>
      </c>
    </row>
    <row r="160" spans="1:5" ht="18" customHeight="1" x14ac:dyDescent="0.25">
      <c r="A160" s="27">
        <v>45175</v>
      </c>
      <c r="B160" s="29">
        <f>MONTH(W_カレンダー[[#This Row],[日付]])</f>
        <v>9</v>
      </c>
      <c r="C160" s="1">
        <f>YEAR(W_カレンダー[[#This Row],[日付]])</f>
        <v>2023</v>
      </c>
      <c r="D160" s="1">
        <f>IF(W_カレンダー[[#This Row],[月]]&lt;=3,W_カレンダー[[#This Row],[暦年]]-1,W_カレンダー[[#This Row],[暦年]])</f>
        <v>2023</v>
      </c>
      <c r="E160" s="1" t="str">
        <f>IF(W_カレンダー[[#This Row],[月]]&lt;=3,"Q4",IF(W_カレンダー[[#This Row],[月]]&lt;=6,"Q1",IF(W_カレンダー[[#This Row],[月]]&lt;=9,"Q2","Q3")))</f>
        <v>Q2</v>
      </c>
    </row>
    <row r="161" spans="1:5" ht="18" customHeight="1" x14ac:dyDescent="0.25">
      <c r="A161" s="27">
        <v>45176</v>
      </c>
      <c r="B161" s="29">
        <f>MONTH(W_カレンダー[[#This Row],[日付]])</f>
        <v>9</v>
      </c>
      <c r="C161" s="1">
        <f>YEAR(W_カレンダー[[#This Row],[日付]])</f>
        <v>2023</v>
      </c>
      <c r="D161" s="1">
        <f>IF(W_カレンダー[[#This Row],[月]]&lt;=3,W_カレンダー[[#This Row],[暦年]]-1,W_カレンダー[[#This Row],[暦年]])</f>
        <v>2023</v>
      </c>
      <c r="E161" s="1" t="str">
        <f>IF(W_カレンダー[[#This Row],[月]]&lt;=3,"Q4",IF(W_カレンダー[[#This Row],[月]]&lt;=6,"Q1",IF(W_カレンダー[[#This Row],[月]]&lt;=9,"Q2","Q3")))</f>
        <v>Q2</v>
      </c>
    </row>
    <row r="162" spans="1:5" ht="18" customHeight="1" x14ac:dyDescent="0.25">
      <c r="A162" s="27">
        <v>45177</v>
      </c>
      <c r="B162" s="29">
        <f>MONTH(W_カレンダー[[#This Row],[日付]])</f>
        <v>9</v>
      </c>
      <c r="C162" s="1">
        <f>YEAR(W_カレンダー[[#This Row],[日付]])</f>
        <v>2023</v>
      </c>
      <c r="D162" s="1">
        <f>IF(W_カレンダー[[#This Row],[月]]&lt;=3,W_カレンダー[[#This Row],[暦年]]-1,W_カレンダー[[#This Row],[暦年]])</f>
        <v>2023</v>
      </c>
      <c r="E162" s="1" t="str">
        <f>IF(W_カレンダー[[#This Row],[月]]&lt;=3,"Q4",IF(W_カレンダー[[#This Row],[月]]&lt;=6,"Q1",IF(W_カレンダー[[#This Row],[月]]&lt;=9,"Q2","Q3")))</f>
        <v>Q2</v>
      </c>
    </row>
    <row r="163" spans="1:5" ht="18" customHeight="1" x14ac:dyDescent="0.25">
      <c r="A163" s="27">
        <v>45178</v>
      </c>
      <c r="B163" s="29">
        <f>MONTH(W_カレンダー[[#This Row],[日付]])</f>
        <v>9</v>
      </c>
      <c r="C163" s="1">
        <f>YEAR(W_カレンダー[[#This Row],[日付]])</f>
        <v>2023</v>
      </c>
      <c r="D163" s="1">
        <f>IF(W_カレンダー[[#This Row],[月]]&lt;=3,W_カレンダー[[#This Row],[暦年]]-1,W_カレンダー[[#This Row],[暦年]])</f>
        <v>2023</v>
      </c>
      <c r="E163" s="1" t="str">
        <f>IF(W_カレンダー[[#This Row],[月]]&lt;=3,"Q4",IF(W_カレンダー[[#This Row],[月]]&lt;=6,"Q1",IF(W_カレンダー[[#This Row],[月]]&lt;=9,"Q2","Q3")))</f>
        <v>Q2</v>
      </c>
    </row>
    <row r="164" spans="1:5" ht="18" customHeight="1" x14ac:dyDescent="0.25">
      <c r="A164" s="27">
        <v>45179</v>
      </c>
      <c r="B164" s="29">
        <f>MONTH(W_カレンダー[[#This Row],[日付]])</f>
        <v>9</v>
      </c>
      <c r="C164" s="1">
        <f>YEAR(W_カレンダー[[#This Row],[日付]])</f>
        <v>2023</v>
      </c>
      <c r="D164" s="1">
        <f>IF(W_カレンダー[[#This Row],[月]]&lt;=3,W_カレンダー[[#This Row],[暦年]]-1,W_カレンダー[[#This Row],[暦年]])</f>
        <v>2023</v>
      </c>
      <c r="E164" s="1" t="str">
        <f>IF(W_カレンダー[[#This Row],[月]]&lt;=3,"Q4",IF(W_カレンダー[[#This Row],[月]]&lt;=6,"Q1",IF(W_カレンダー[[#This Row],[月]]&lt;=9,"Q2","Q3")))</f>
        <v>Q2</v>
      </c>
    </row>
    <row r="165" spans="1:5" ht="18" customHeight="1" x14ac:dyDescent="0.25">
      <c r="A165" s="27">
        <v>45180</v>
      </c>
      <c r="B165" s="29">
        <f>MONTH(W_カレンダー[[#This Row],[日付]])</f>
        <v>9</v>
      </c>
      <c r="C165" s="1">
        <f>YEAR(W_カレンダー[[#This Row],[日付]])</f>
        <v>2023</v>
      </c>
      <c r="D165" s="1">
        <f>IF(W_カレンダー[[#This Row],[月]]&lt;=3,W_カレンダー[[#This Row],[暦年]]-1,W_カレンダー[[#This Row],[暦年]])</f>
        <v>2023</v>
      </c>
      <c r="E165" s="1" t="str">
        <f>IF(W_カレンダー[[#This Row],[月]]&lt;=3,"Q4",IF(W_カレンダー[[#This Row],[月]]&lt;=6,"Q1",IF(W_カレンダー[[#This Row],[月]]&lt;=9,"Q2","Q3")))</f>
        <v>Q2</v>
      </c>
    </row>
    <row r="166" spans="1:5" ht="18" customHeight="1" x14ac:dyDescent="0.25">
      <c r="A166" s="27">
        <v>45181</v>
      </c>
      <c r="B166" s="29">
        <f>MONTH(W_カレンダー[[#This Row],[日付]])</f>
        <v>9</v>
      </c>
      <c r="C166" s="1">
        <f>YEAR(W_カレンダー[[#This Row],[日付]])</f>
        <v>2023</v>
      </c>
      <c r="D166" s="1">
        <f>IF(W_カレンダー[[#This Row],[月]]&lt;=3,W_カレンダー[[#This Row],[暦年]]-1,W_カレンダー[[#This Row],[暦年]])</f>
        <v>2023</v>
      </c>
      <c r="E166" s="1" t="str">
        <f>IF(W_カレンダー[[#This Row],[月]]&lt;=3,"Q4",IF(W_カレンダー[[#This Row],[月]]&lt;=6,"Q1",IF(W_カレンダー[[#This Row],[月]]&lt;=9,"Q2","Q3")))</f>
        <v>Q2</v>
      </c>
    </row>
    <row r="167" spans="1:5" ht="18" customHeight="1" x14ac:dyDescent="0.25">
      <c r="A167" s="27">
        <v>45182</v>
      </c>
      <c r="B167" s="29">
        <f>MONTH(W_カレンダー[[#This Row],[日付]])</f>
        <v>9</v>
      </c>
      <c r="C167" s="1">
        <f>YEAR(W_カレンダー[[#This Row],[日付]])</f>
        <v>2023</v>
      </c>
      <c r="D167" s="1">
        <f>IF(W_カレンダー[[#This Row],[月]]&lt;=3,W_カレンダー[[#This Row],[暦年]]-1,W_カレンダー[[#This Row],[暦年]])</f>
        <v>2023</v>
      </c>
      <c r="E167" s="1" t="str">
        <f>IF(W_カレンダー[[#This Row],[月]]&lt;=3,"Q4",IF(W_カレンダー[[#This Row],[月]]&lt;=6,"Q1",IF(W_カレンダー[[#This Row],[月]]&lt;=9,"Q2","Q3")))</f>
        <v>Q2</v>
      </c>
    </row>
    <row r="168" spans="1:5" ht="18" customHeight="1" x14ac:dyDescent="0.25">
      <c r="A168" s="27">
        <v>45183</v>
      </c>
      <c r="B168" s="29">
        <f>MONTH(W_カレンダー[[#This Row],[日付]])</f>
        <v>9</v>
      </c>
      <c r="C168" s="1">
        <f>YEAR(W_カレンダー[[#This Row],[日付]])</f>
        <v>2023</v>
      </c>
      <c r="D168" s="1">
        <f>IF(W_カレンダー[[#This Row],[月]]&lt;=3,W_カレンダー[[#This Row],[暦年]]-1,W_カレンダー[[#This Row],[暦年]])</f>
        <v>2023</v>
      </c>
      <c r="E168" s="1" t="str">
        <f>IF(W_カレンダー[[#This Row],[月]]&lt;=3,"Q4",IF(W_カレンダー[[#This Row],[月]]&lt;=6,"Q1",IF(W_カレンダー[[#This Row],[月]]&lt;=9,"Q2","Q3")))</f>
        <v>Q2</v>
      </c>
    </row>
    <row r="169" spans="1:5" ht="18" customHeight="1" x14ac:dyDescent="0.25">
      <c r="A169" s="27">
        <v>45184</v>
      </c>
      <c r="B169" s="29">
        <f>MONTH(W_カレンダー[[#This Row],[日付]])</f>
        <v>9</v>
      </c>
      <c r="C169" s="1">
        <f>YEAR(W_カレンダー[[#This Row],[日付]])</f>
        <v>2023</v>
      </c>
      <c r="D169" s="1">
        <f>IF(W_カレンダー[[#This Row],[月]]&lt;=3,W_カレンダー[[#This Row],[暦年]]-1,W_カレンダー[[#This Row],[暦年]])</f>
        <v>2023</v>
      </c>
      <c r="E169" s="1" t="str">
        <f>IF(W_カレンダー[[#This Row],[月]]&lt;=3,"Q4",IF(W_カレンダー[[#This Row],[月]]&lt;=6,"Q1",IF(W_カレンダー[[#This Row],[月]]&lt;=9,"Q2","Q3")))</f>
        <v>Q2</v>
      </c>
    </row>
    <row r="170" spans="1:5" ht="18" customHeight="1" x14ac:dyDescent="0.25">
      <c r="A170" s="27">
        <v>45185</v>
      </c>
      <c r="B170" s="29">
        <f>MONTH(W_カレンダー[[#This Row],[日付]])</f>
        <v>9</v>
      </c>
      <c r="C170" s="1">
        <f>YEAR(W_カレンダー[[#This Row],[日付]])</f>
        <v>2023</v>
      </c>
      <c r="D170" s="1">
        <f>IF(W_カレンダー[[#This Row],[月]]&lt;=3,W_カレンダー[[#This Row],[暦年]]-1,W_カレンダー[[#This Row],[暦年]])</f>
        <v>2023</v>
      </c>
      <c r="E170" s="1" t="str">
        <f>IF(W_カレンダー[[#This Row],[月]]&lt;=3,"Q4",IF(W_カレンダー[[#This Row],[月]]&lt;=6,"Q1",IF(W_カレンダー[[#This Row],[月]]&lt;=9,"Q2","Q3")))</f>
        <v>Q2</v>
      </c>
    </row>
    <row r="171" spans="1:5" ht="18" customHeight="1" x14ac:dyDescent="0.25">
      <c r="A171" s="27">
        <v>45186</v>
      </c>
      <c r="B171" s="29">
        <f>MONTH(W_カレンダー[[#This Row],[日付]])</f>
        <v>9</v>
      </c>
      <c r="C171" s="1">
        <f>YEAR(W_カレンダー[[#This Row],[日付]])</f>
        <v>2023</v>
      </c>
      <c r="D171" s="1">
        <f>IF(W_カレンダー[[#This Row],[月]]&lt;=3,W_カレンダー[[#This Row],[暦年]]-1,W_カレンダー[[#This Row],[暦年]])</f>
        <v>2023</v>
      </c>
      <c r="E171" s="1" t="str">
        <f>IF(W_カレンダー[[#This Row],[月]]&lt;=3,"Q4",IF(W_カレンダー[[#This Row],[月]]&lt;=6,"Q1",IF(W_カレンダー[[#This Row],[月]]&lt;=9,"Q2","Q3")))</f>
        <v>Q2</v>
      </c>
    </row>
    <row r="172" spans="1:5" ht="18" customHeight="1" x14ac:dyDescent="0.25">
      <c r="A172" s="27">
        <v>45187</v>
      </c>
      <c r="B172" s="29">
        <f>MONTH(W_カレンダー[[#This Row],[日付]])</f>
        <v>9</v>
      </c>
      <c r="C172" s="1">
        <f>YEAR(W_カレンダー[[#This Row],[日付]])</f>
        <v>2023</v>
      </c>
      <c r="D172" s="1">
        <f>IF(W_カレンダー[[#This Row],[月]]&lt;=3,W_カレンダー[[#This Row],[暦年]]-1,W_カレンダー[[#This Row],[暦年]])</f>
        <v>2023</v>
      </c>
      <c r="E172" s="1" t="str">
        <f>IF(W_カレンダー[[#This Row],[月]]&lt;=3,"Q4",IF(W_カレンダー[[#This Row],[月]]&lt;=6,"Q1",IF(W_カレンダー[[#This Row],[月]]&lt;=9,"Q2","Q3")))</f>
        <v>Q2</v>
      </c>
    </row>
    <row r="173" spans="1:5" ht="18" customHeight="1" x14ac:dyDescent="0.25">
      <c r="A173" s="27">
        <v>45188</v>
      </c>
      <c r="B173" s="29">
        <f>MONTH(W_カレンダー[[#This Row],[日付]])</f>
        <v>9</v>
      </c>
      <c r="C173" s="1">
        <f>YEAR(W_カレンダー[[#This Row],[日付]])</f>
        <v>2023</v>
      </c>
      <c r="D173" s="1">
        <f>IF(W_カレンダー[[#This Row],[月]]&lt;=3,W_カレンダー[[#This Row],[暦年]]-1,W_カレンダー[[#This Row],[暦年]])</f>
        <v>2023</v>
      </c>
      <c r="E173" s="1" t="str">
        <f>IF(W_カレンダー[[#This Row],[月]]&lt;=3,"Q4",IF(W_カレンダー[[#This Row],[月]]&lt;=6,"Q1",IF(W_カレンダー[[#This Row],[月]]&lt;=9,"Q2","Q3")))</f>
        <v>Q2</v>
      </c>
    </row>
    <row r="174" spans="1:5" ht="18" customHeight="1" x14ac:dyDescent="0.25">
      <c r="A174" s="27">
        <v>45189</v>
      </c>
      <c r="B174" s="29">
        <f>MONTH(W_カレンダー[[#This Row],[日付]])</f>
        <v>9</v>
      </c>
      <c r="C174" s="1">
        <f>YEAR(W_カレンダー[[#This Row],[日付]])</f>
        <v>2023</v>
      </c>
      <c r="D174" s="1">
        <f>IF(W_カレンダー[[#This Row],[月]]&lt;=3,W_カレンダー[[#This Row],[暦年]]-1,W_カレンダー[[#This Row],[暦年]])</f>
        <v>2023</v>
      </c>
      <c r="E174" s="1" t="str">
        <f>IF(W_カレンダー[[#This Row],[月]]&lt;=3,"Q4",IF(W_カレンダー[[#This Row],[月]]&lt;=6,"Q1",IF(W_カレンダー[[#This Row],[月]]&lt;=9,"Q2","Q3")))</f>
        <v>Q2</v>
      </c>
    </row>
    <row r="175" spans="1:5" ht="18" customHeight="1" x14ac:dyDescent="0.25">
      <c r="A175" s="27">
        <v>45190</v>
      </c>
      <c r="B175" s="29">
        <f>MONTH(W_カレンダー[[#This Row],[日付]])</f>
        <v>9</v>
      </c>
      <c r="C175" s="1">
        <f>YEAR(W_カレンダー[[#This Row],[日付]])</f>
        <v>2023</v>
      </c>
      <c r="D175" s="1">
        <f>IF(W_カレンダー[[#This Row],[月]]&lt;=3,W_カレンダー[[#This Row],[暦年]]-1,W_カレンダー[[#This Row],[暦年]])</f>
        <v>2023</v>
      </c>
      <c r="E175" s="1" t="str">
        <f>IF(W_カレンダー[[#This Row],[月]]&lt;=3,"Q4",IF(W_カレンダー[[#This Row],[月]]&lt;=6,"Q1",IF(W_カレンダー[[#This Row],[月]]&lt;=9,"Q2","Q3")))</f>
        <v>Q2</v>
      </c>
    </row>
    <row r="176" spans="1:5" ht="18" customHeight="1" x14ac:dyDescent="0.25">
      <c r="A176" s="27">
        <v>45191</v>
      </c>
      <c r="B176" s="29">
        <f>MONTH(W_カレンダー[[#This Row],[日付]])</f>
        <v>9</v>
      </c>
      <c r="C176" s="1">
        <f>YEAR(W_カレンダー[[#This Row],[日付]])</f>
        <v>2023</v>
      </c>
      <c r="D176" s="1">
        <f>IF(W_カレンダー[[#This Row],[月]]&lt;=3,W_カレンダー[[#This Row],[暦年]]-1,W_カレンダー[[#This Row],[暦年]])</f>
        <v>2023</v>
      </c>
      <c r="E176" s="1" t="str">
        <f>IF(W_カレンダー[[#This Row],[月]]&lt;=3,"Q4",IF(W_カレンダー[[#This Row],[月]]&lt;=6,"Q1",IF(W_カレンダー[[#This Row],[月]]&lt;=9,"Q2","Q3")))</f>
        <v>Q2</v>
      </c>
    </row>
    <row r="177" spans="1:5" ht="18" customHeight="1" x14ac:dyDescent="0.25">
      <c r="A177" s="27">
        <v>45192</v>
      </c>
      <c r="B177" s="29">
        <f>MONTH(W_カレンダー[[#This Row],[日付]])</f>
        <v>9</v>
      </c>
      <c r="C177" s="1">
        <f>YEAR(W_カレンダー[[#This Row],[日付]])</f>
        <v>2023</v>
      </c>
      <c r="D177" s="1">
        <f>IF(W_カレンダー[[#This Row],[月]]&lt;=3,W_カレンダー[[#This Row],[暦年]]-1,W_カレンダー[[#This Row],[暦年]])</f>
        <v>2023</v>
      </c>
      <c r="E177" s="1" t="str">
        <f>IF(W_カレンダー[[#This Row],[月]]&lt;=3,"Q4",IF(W_カレンダー[[#This Row],[月]]&lt;=6,"Q1",IF(W_カレンダー[[#This Row],[月]]&lt;=9,"Q2","Q3")))</f>
        <v>Q2</v>
      </c>
    </row>
    <row r="178" spans="1:5" ht="18" customHeight="1" x14ac:dyDescent="0.25">
      <c r="A178" s="27">
        <v>45193</v>
      </c>
      <c r="B178" s="29">
        <f>MONTH(W_カレンダー[[#This Row],[日付]])</f>
        <v>9</v>
      </c>
      <c r="C178" s="1">
        <f>YEAR(W_カレンダー[[#This Row],[日付]])</f>
        <v>2023</v>
      </c>
      <c r="D178" s="1">
        <f>IF(W_カレンダー[[#This Row],[月]]&lt;=3,W_カレンダー[[#This Row],[暦年]]-1,W_カレンダー[[#This Row],[暦年]])</f>
        <v>2023</v>
      </c>
      <c r="E178" s="1" t="str">
        <f>IF(W_カレンダー[[#This Row],[月]]&lt;=3,"Q4",IF(W_カレンダー[[#This Row],[月]]&lt;=6,"Q1",IF(W_カレンダー[[#This Row],[月]]&lt;=9,"Q2","Q3")))</f>
        <v>Q2</v>
      </c>
    </row>
    <row r="179" spans="1:5" ht="18" customHeight="1" x14ac:dyDescent="0.25">
      <c r="A179" s="27">
        <v>45194</v>
      </c>
      <c r="B179" s="29">
        <f>MONTH(W_カレンダー[[#This Row],[日付]])</f>
        <v>9</v>
      </c>
      <c r="C179" s="1">
        <f>YEAR(W_カレンダー[[#This Row],[日付]])</f>
        <v>2023</v>
      </c>
      <c r="D179" s="1">
        <f>IF(W_カレンダー[[#This Row],[月]]&lt;=3,W_カレンダー[[#This Row],[暦年]]-1,W_カレンダー[[#This Row],[暦年]])</f>
        <v>2023</v>
      </c>
      <c r="E179" s="1" t="str">
        <f>IF(W_カレンダー[[#This Row],[月]]&lt;=3,"Q4",IF(W_カレンダー[[#This Row],[月]]&lt;=6,"Q1",IF(W_カレンダー[[#This Row],[月]]&lt;=9,"Q2","Q3")))</f>
        <v>Q2</v>
      </c>
    </row>
    <row r="180" spans="1:5" ht="18" customHeight="1" x14ac:dyDescent="0.25">
      <c r="A180" s="27">
        <v>45195</v>
      </c>
      <c r="B180" s="29">
        <f>MONTH(W_カレンダー[[#This Row],[日付]])</f>
        <v>9</v>
      </c>
      <c r="C180" s="1">
        <f>YEAR(W_カレンダー[[#This Row],[日付]])</f>
        <v>2023</v>
      </c>
      <c r="D180" s="1">
        <f>IF(W_カレンダー[[#This Row],[月]]&lt;=3,W_カレンダー[[#This Row],[暦年]]-1,W_カレンダー[[#This Row],[暦年]])</f>
        <v>2023</v>
      </c>
      <c r="E180" s="1" t="str">
        <f>IF(W_カレンダー[[#This Row],[月]]&lt;=3,"Q4",IF(W_カレンダー[[#This Row],[月]]&lt;=6,"Q1",IF(W_カレンダー[[#This Row],[月]]&lt;=9,"Q2","Q3")))</f>
        <v>Q2</v>
      </c>
    </row>
    <row r="181" spans="1:5" ht="18" customHeight="1" x14ac:dyDescent="0.25">
      <c r="A181" s="27">
        <v>45196</v>
      </c>
      <c r="B181" s="29">
        <f>MONTH(W_カレンダー[[#This Row],[日付]])</f>
        <v>9</v>
      </c>
      <c r="C181" s="1">
        <f>YEAR(W_カレンダー[[#This Row],[日付]])</f>
        <v>2023</v>
      </c>
      <c r="D181" s="1">
        <f>IF(W_カレンダー[[#This Row],[月]]&lt;=3,W_カレンダー[[#This Row],[暦年]]-1,W_カレンダー[[#This Row],[暦年]])</f>
        <v>2023</v>
      </c>
      <c r="E181" s="1" t="str">
        <f>IF(W_カレンダー[[#This Row],[月]]&lt;=3,"Q4",IF(W_カレンダー[[#This Row],[月]]&lt;=6,"Q1",IF(W_カレンダー[[#This Row],[月]]&lt;=9,"Q2","Q3")))</f>
        <v>Q2</v>
      </c>
    </row>
    <row r="182" spans="1:5" ht="18" customHeight="1" x14ac:dyDescent="0.25">
      <c r="A182" s="27">
        <v>45197</v>
      </c>
      <c r="B182" s="29">
        <f>MONTH(W_カレンダー[[#This Row],[日付]])</f>
        <v>9</v>
      </c>
      <c r="C182" s="1">
        <f>YEAR(W_カレンダー[[#This Row],[日付]])</f>
        <v>2023</v>
      </c>
      <c r="D182" s="1">
        <f>IF(W_カレンダー[[#This Row],[月]]&lt;=3,W_カレンダー[[#This Row],[暦年]]-1,W_カレンダー[[#This Row],[暦年]])</f>
        <v>2023</v>
      </c>
      <c r="E182" s="1" t="str">
        <f>IF(W_カレンダー[[#This Row],[月]]&lt;=3,"Q4",IF(W_カレンダー[[#This Row],[月]]&lt;=6,"Q1",IF(W_カレンダー[[#This Row],[月]]&lt;=9,"Q2","Q3")))</f>
        <v>Q2</v>
      </c>
    </row>
    <row r="183" spans="1:5" ht="18" customHeight="1" x14ac:dyDescent="0.25">
      <c r="A183" s="27">
        <v>45198</v>
      </c>
      <c r="B183" s="29">
        <f>MONTH(W_カレンダー[[#This Row],[日付]])</f>
        <v>9</v>
      </c>
      <c r="C183" s="1">
        <f>YEAR(W_カレンダー[[#This Row],[日付]])</f>
        <v>2023</v>
      </c>
      <c r="D183" s="1">
        <f>IF(W_カレンダー[[#This Row],[月]]&lt;=3,W_カレンダー[[#This Row],[暦年]]-1,W_カレンダー[[#This Row],[暦年]])</f>
        <v>2023</v>
      </c>
      <c r="E183" s="1" t="str">
        <f>IF(W_カレンダー[[#This Row],[月]]&lt;=3,"Q4",IF(W_カレンダー[[#This Row],[月]]&lt;=6,"Q1",IF(W_カレンダー[[#This Row],[月]]&lt;=9,"Q2","Q3")))</f>
        <v>Q2</v>
      </c>
    </row>
    <row r="184" spans="1:5" ht="18" customHeight="1" x14ac:dyDescent="0.25">
      <c r="A184" s="27">
        <v>45199</v>
      </c>
      <c r="B184" s="29">
        <f>MONTH(W_カレンダー[[#This Row],[日付]])</f>
        <v>9</v>
      </c>
      <c r="C184" s="1">
        <f>YEAR(W_カレンダー[[#This Row],[日付]])</f>
        <v>2023</v>
      </c>
      <c r="D184" s="1">
        <f>IF(W_カレンダー[[#This Row],[月]]&lt;=3,W_カレンダー[[#This Row],[暦年]]-1,W_カレンダー[[#This Row],[暦年]])</f>
        <v>2023</v>
      </c>
      <c r="E184" s="1" t="str">
        <f>IF(W_カレンダー[[#This Row],[月]]&lt;=3,"Q4",IF(W_カレンダー[[#This Row],[月]]&lt;=6,"Q1",IF(W_カレンダー[[#This Row],[月]]&lt;=9,"Q2","Q3")))</f>
        <v>Q2</v>
      </c>
    </row>
    <row r="185" spans="1:5" ht="18" customHeight="1" x14ac:dyDescent="0.25">
      <c r="A185" s="27">
        <v>45200</v>
      </c>
      <c r="B185" s="29">
        <f>MONTH(W_カレンダー[[#This Row],[日付]])</f>
        <v>10</v>
      </c>
      <c r="C185" s="1">
        <f>YEAR(W_カレンダー[[#This Row],[日付]])</f>
        <v>2023</v>
      </c>
      <c r="D185" s="1">
        <f>IF(W_カレンダー[[#This Row],[月]]&lt;=3,W_カレンダー[[#This Row],[暦年]]-1,W_カレンダー[[#This Row],[暦年]])</f>
        <v>2023</v>
      </c>
      <c r="E185" s="1" t="str">
        <f>IF(W_カレンダー[[#This Row],[月]]&lt;=3,"Q4",IF(W_カレンダー[[#This Row],[月]]&lt;=6,"Q1",IF(W_カレンダー[[#This Row],[月]]&lt;=9,"Q2","Q3")))</f>
        <v>Q3</v>
      </c>
    </row>
    <row r="186" spans="1:5" ht="18" customHeight="1" x14ac:dyDescent="0.25">
      <c r="A186" s="27">
        <v>45201</v>
      </c>
      <c r="B186" s="29">
        <f>MONTH(W_カレンダー[[#This Row],[日付]])</f>
        <v>10</v>
      </c>
      <c r="C186" s="1">
        <f>YEAR(W_カレンダー[[#This Row],[日付]])</f>
        <v>2023</v>
      </c>
      <c r="D186" s="1">
        <f>IF(W_カレンダー[[#This Row],[月]]&lt;=3,W_カレンダー[[#This Row],[暦年]]-1,W_カレンダー[[#This Row],[暦年]])</f>
        <v>2023</v>
      </c>
      <c r="E186" s="1" t="str">
        <f>IF(W_カレンダー[[#This Row],[月]]&lt;=3,"Q4",IF(W_カレンダー[[#This Row],[月]]&lt;=6,"Q1",IF(W_カレンダー[[#This Row],[月]]&lt;=9,"Q2","Q3")))</f>
        <v>Q3</v>
      </c>
    </row>
    <row r="187" spans="1:5" ht="18" customHeight="1" x14ac:dyDescent="0.25">
      <c r="A187" s="27">
        <v>45202</v>
      </c>
      <c r="B187" s="29">
        <f>MONTH(W_カレンダー[[#This Row],[日付]])</f>
        <v>10</v>
      </c>
      <c r="C187" s="1">
        <f>YEAR(W_カレンダー[[#This Row],[日付]])</f>
        <v>2023</v>
      </c>
      <c r="D187" s="1">
        <f>IF(W_カレンダー[[#This Row],[月]]&lt;=3,W_カレンダー[[#This Row],[暦年]]-1,W_カレンダー[[#This Row],[暦年]])</f>
        <v>2023</v>
      </c>
      <c r="E187" s="1" t="str">
        <f>IF(W_カレンダー[[#This Row],[月]]&lt;=3,"Q4",IF(W_カレンダー[[#This Row],[月]]&lt;=6,"Q1",IF(W_カレンダー[[#This Row],[月]]&lt;=9,"Q2","Q3")))</f>
        <v>Q3</v>
      </c>
    </row>
    <row r="188" spans="1:5" ht="18" customHeight="1" x14ac:dyDescent="0.25">
      <c r="A188" s="27">
        <v>45203</v>
      </c>
      <c r="B188" s="29">
        <f>MONTH(W_カレンダー[[#This Row],[日付]])</f>
        <v>10</v>
      </c>
      <c r="C188" s="1">
        <f>YEAR(W_カレンダー[[#This Row],[日付]])</f>
        <v>2023</v>
      </c>
      <c r="D188" s="1">
        <f>IF(W_カレンダー[[#This Row],[月]]&lt;=3,W_カレンダー[[#This Row],[暦年]]-1,W_カレンダー[[#This Row],[暦年]])</f>
        <v>2023</v>
      </c>
      <c r="E188" s="1" t="str">
        <f>IF(W_カレンダー[[#This Row],[月]]&lt;=3,"Q4",IF(W_カレンダー[[#This Row],[月]]&lt;=6,"Q1",IF(W_カレンダー[[#This Row],[月]]&lt;=9,"Q2","Q3")))</f>
        <v>Q3</v>
      </c>
    </row>
    <row r="189" spans="1:5" ht="18" customHeight="1" x14ac:dyDescent="0.25">
      <c r="A189" s="27">
        <v>45204</v>
      </c>
      <c r="B189" s="29">
        <f>MONTH(W_カレンダー[[#This Row],[日付]])</f>
        <v>10</v>
      </c>
      <c r="C189" s="1">
        <f>YEAR(W_カレンダー[[#This Row],[日付]])</f>
        <v>2023</v>
      </c>
      <c r="D189" s="1">
        <f>IF(W_カレンダー[[#This Row],[月]]&lt;=3,W_カレンダー[[#This Row],[暦年]]-1,W_カレンダー[[#This Row],[暦年]])</f>
        <v>2023</v>
      </c>
      <c r="E189" s="1" t="str">
        <f>IF(W_カレンダー[[#This Row],[月]]&lt;=3,"Q4",IF(W_カレンダー[[#This Row],[月]]&lt;=6,"Q1",IF(W_カレンダー[[#This Row],[月]]&lt;=9,"Q2","Q3")))</f>
        <v>Q3</v>
      </c>
    </row>
    <row r="190" spans="1:5" ht="18" customHeight="1" x14ac:dyDescent="0.25">
      <c r="A190" s="27">
        <v>45205</v>
      </c>
      <c r="B190" s="29">
        <f>MONTH(W_カレンダー[[#This Row],[日付]])</f>
        <v>10</v>
      </c>
      <c r="C190" s="1">
        <f>YEAR(W_カレンダー[[#This Row],[日付]])</f>
        <v>2023</v>
      </c>
      <c r="D190" s="1">
        <f>IF(W_カレンダー[[#This Row],[月]]&lt;=3,W_カレンダー[[#This Row],[暦年]]-1,W_カレンダー[[#This Row],[暦年]])</f>
        <v>2023</v>
      </c>
      <c r="E190" s="1" t="str">
        <f>IF(W_カレンダー[[#This Row],[月]]&lt;=3,"Q4",IF(W_カレンダー[[#This Row],[月]]&lt;=6,"Q1",IF(W_カレンダー[[#This Row],[月]]&lt;=9,"Q2","Q3")))</f>
        <v>Q3</v>
      </c>
    </row>
    <row r="191" spans="1:5" ht="18" customHeight="1" x14ac:dyDescent="0.25">
      <c r="A191" s="27">
        <v>45206</v>
      </c>
      <c r="B191" s="29">
        <f>MONTH(W_カレンダー[[#This Row],[日付]])</f>
        <v>10</v>
      </c>
      <c r="C191" s="1">
        <f>YEAR(W_カレンダー[[#This Row],[日付]])</f>
        <v>2023</v>
      </c>
      <c r="D191" s="1">
        <f>IF(W_カレンダー[[#This Row],[月]]&lt;=3,W_カレンダー[[#This Row],[暦年]]-1,W_カレンダー[[#This Row],[暦年]])</f>
        <v>2023</v>
      </c>
      <c r="E191" s="1" t="str">
        <f>IF(W_カレンダー[[#This Row],[月]]&lt;=3,"Q4",IF(W_カレンダー[[#This Row],[月]]&lt;=6,"Q1",IF(W_カレンダー[[#This Row],[月]]&lt;=9,"Q2","Q3")))</f>
        <v>Q3</v>
      </c>
    </row>
    <row r="192" spans="1:5" ht="18" customHeight="1" x14ac:dyDescent="0.25">
      <c r="A192" s="27">
        <v>45207</v>
      </c>
      <c r="B192" s="29">
        <f>MONTH(W_カレンダー[[#This Row],[日付]])</f>
        <v>10</v>
      </c>
      <c r="C192" s="1">
        <f>YEAR(W_カレンダー[[#This Row],[日付]])</f>
        <v>2023</v>
      </c>
      <c r="D192" s="1">
        <f>IF(W_カレンダー[[#This Row],[月]]&lt;=3,W_カレンダー[[#This Row],[暦年]]-1,W_カレンダー[[#This Row],[暦年]])</f>
        <v>2023</v>
      </c>
      <c r="E192" s="1" t="str">
        <f>IF(W_カレンダー[[#This Row],[月]]&lt;=3,"Q4",IF(W_カレンダー[[#This Row],[月]]&lt;=6,"Q1",IF(W_カレンダー[[#This Row],[月]]&lt;=9,"Q2","Q3")))</f>
        <v>Q3</v>
      </c>
    </row>
    <row r="193" spans="1:5" ht="18" customHeight="1" x14ac:dyDescent="0.25">
      <c r="A193" s="27">
        <v>45208</v>
      </c>
      <c r="B193" s="29">
        <f>MONTH(W_カレンダー[[#This Row],[日付]])</f>
        <v>10</v>
      </c>
      <c r="C193" s="1">
        <f>YEAR(W_カレンダー[[#This Row],[日付]])</f>
        <v>2023</v>
      </c>
      <c r="D193" s="1">
        <f>IF(W_カレンダー[[#This Row],[月]]&lt;=3,W_カレンダー[[#This Row],[暦年]]-1,W_カレンダー[[#This Row],[暦年]])</f>
        <v>2023</v>
      </c>
      <c r="E193" s="1" t="str">
        <f>IF(W_カレンダー[[#This Row],[月]]&lt;=3,"Q4",IF(W_カレンダー[[#This Row],[月]]&lt;=6,"Q1",IF(W_カレンダー[[#This Row],[月]]&lt;=9,"Q2","Q3")))</f>
        <v>Q3</v>
      </c>
    </row>
    <row r="194" spans="1:5" ht="18" customHeight="1" x14ac:dyDescent="0.25">
      <c r="A194" s="27">
        <v>45209</v>
      </c>
      <c r="B194" s="29">
        <f>MONTH(W_カレンダー[[#This Row],[日付]])</f>
        <v>10</v>
      </c>
      <c r="C194" s="1">
        <f>YEAR(W_カレンダー[[#This Row],[日付]])</f>
        <v>2023</v>
      </c>
      <c r="D194" s="1">
        <f>IF(W_カレンダー[[#This Row],[月]]&lt;=3,W_カレンダー[[#This Row],[暦年]]-1,W_カレンダー[[#This Row],[暦年]])</f>
        <v>2023</v>
      </c>
      <c r="E194" s="1" t="str">
        <f>IF(W_カレンダー[[#This Row],[月]]&lt;=3,"Q4",IF(W_カレンダー[[#This Row],[月]]&lt;=6,"Q1",IF(W_カレンダー[[#This Row],[月]]&lt;=9,"Q2","Q3")))</f>
        <v>Q3</v>
      </c>
    </row>
    <row r="195" spans="1:5" ht="18" customHeight="1" x14ac:dyDescent="0.25">
      <c r="A195" s="27">
        <v>45210</v>
      </c>
      <c r="B195" s="29">
        <f>MONTH(W_カレンダー[[#This Row],[日付]])</f>
        <v>10</v>
      </c>
      <c r="C195" s="1">
        <f>YEAR(W_カレンダー[[#This Row],[日付]])</f>
        <v>2023</v>
      </c>
      <c r="D195" s="1">
        <f>IF(W_カレンダー[[#This Row],[月]]&lt;=3,W_カレンダー[[#This Row],[暦年]]-1,W_カレンダー[[#This Row],[暦年]])</f>
        <v>2023</v>
      </c>
      <c r="E195" s="1" t="str">
        <f>IF(W_カレンダー[[#This Row],[月]]&lt;=3,"Q4",IF(W_カレンダー[[#This Row],[月]]&lt;=6,"Q1",IF(W_カレンダー[[#This Row],[月]]&lt;=9,"Q2","Q3")))</f>
        <v>Q3</v>
      </c>
    </row>
    <row r="196" spans="1:5" ht="18" customHeight="1" x14ac:dyDescent="0.25">
      <c r="A196" s="27">
        <v>45211</v>
      </c>
      <c r="B196" s="29">
        <f>MONTH(W_カレンダー[[#This Row],[日付]])</f>
        <v>10</v>
      </c>
      <c r="C196" s="1">
        <f>YEAR(W_カレンダー[[#This Row],[日付]])</f>
        <v>2023</v>
      </c>
      <c r="D196" s="1">
        <f>IF(W_カレンダー[[#This Row],[月]]&lt;=3,W_カレンダー[[#This Row],[暦年]]-1,W_カレンダー[[#This Row],[暦年]])</f>
        <v>2023</v>
      </c>
      <c r="E196" s="1" t="str">
        <f>IF(W_カレンダー[[#This Row],[月]]&lt;=3,"Q4",IF(W_カレンダー[[#This Row],[月]]&lt;=6,"Q1",IF(W_カレンダー[[#This Row],[月]]&lt;=9,"Q2","Q3")))</f>
        <v>Q3</v>
      </c>
    </row>
    <row r="197" spans="1:5" ht="18" customHeight="1" x14ac:dyDescent="0.25">
      <c r="A197" s="27">
        <v>45212</v>
      </c>
      <c r="B197" s="29">
        <f>MONTH(W_カレンダー[[#This Row],[日付]])</f>
        <v>10</v>
      </c>
      <c r="C197" s="1">
        <f>YEAR(W_カレンダー[[#This Row],[日付]])</f>
        <v>2023</v>
      </c>
      <c r="D197" s="1">
        <f>IF(W_カレンダー[[#This Row],[月]]&lt;=3,W_カレンダー[[#This Row],[暦年]]-1,W_カレンダー[[#This Row],[暦年]])</f>
        <v>2023</v>
      </c>
      <c r="E197" s="1" t="str">
        <f>IF(W_カレンダー[[#This Row],[月]]&lt;=3,"Q4",IF(W_カレンダー[[#This Row],[月]]&lt;=6,"Q1",IF(W_カレンダー[[#This Row],[月]]&lt;=9,"Q2","Q3")))</f>
        <v>Q3</v>
      </c>
    </row>
    <row r="198" spans="1:5" ht="18" customHeight="1" x14ac:dyDescent="0.25">
      <c r="A198" s="27">
        <v>45213</v>
      </c>
      <c r="B198" s="29">
        <f>MONTH(W_カレンダー[[#This Row],[日付]])</f>
        <v>10</v>
      </c>
      <c r="C198" s="1">
        <f>YEAR(W_カレンダー[[#This Row],[日付]])</f>
        <v>2023</v>
      </c>
      <c r="D198" s="1">
        <f>IF(W_カレンダー[[#This Row],[月]]&lt;=3,W_カレンダー[[#This Row],[暦年]]-1,W_カレンダー[[#This Row],[暦年]])</f>
        <v>2023</v>
      </c>
      <c r="E198" s="1" t="str">
        <f>IF(W_カレンダー[[#This Row],[月]]&lt;=3,"Q4",IF(W_カレンダー[[#This Row],[月]]&lt;=6,"Q1",IF(W_カレンダー[[#This Row],[月]]&lt;=9,"Q2","Q3")))</f>
        <v>Q3</v>
      </c>
    </row>
    <row r="199" spans="1:5" ht="18" customHeight="1" x14ac:dyDescent="0.25">
      <c r="A199" s="27">
        <v>45214</v>
      </c>
      <c r="B199" s="29">
        <f>MONTH(W_カレンダー[[#This Row],[日付]])</f>
        <v>10</v>
      </c>
      <c r="C199" s="1">
        <f>YEAR(W_カレンダー[[#This Row],[日付]])</f>
        <v>2023</v>
      </c>
      <c r="D199" s="1">
        <f>IF(W_カレンダー[[#This Row],[月]]&lt;=3,W_カレンダー[[#This Row],[暦年]]-1,W_カレンダー[[#This Row],[暦年]])</f>
        <v>2023</v>
      </c>
      <c r="E199" s="1" t="str">
        <f>IF(W_カレンダー[[#This Row],[月]]&lt;=3,"Q4",IF(W_カレンダー[[#This Row],[月]]&lt;=6,"Q1",IF(W_カレンダー[[#This Row],[月]]&lt;=9,"Q2","Q3")))</f>
        <v>Q3</v>
      </c>
    </row>
    <row r="200" spans="1:5" ht="18" customHeight="1" x14ac:dyDescent="0.25">
      <c r="A200" s="27">
        <v>45215</v>
      </c>
      <c r="B200" s="29">
        <f>MONTH(W_カレンダー[[#This Row],[日付]])</f>
        <v>10</v>
      </c>
      <c r="C200" s="1">
        <f>YEAR(W_カレンダー[[#This Row],[日付]])</f>
        <v>2023</v>
      </c>
      <c r="D200" s="1">
        <f>IF(W_カレンダー[[#This Row],[月]]&lt;=3,W_カレンダー[[#This Row],[暦年]]-1,W_カレンダー[[#This Row],[暦年]])</f>
        <v>2023</v>
      </c>
      <c r="E200" s="1" t="str">
        <f>IF(W_カレンダー[[#This Row],[月]]&lt;=3,"Q4",IF(W_カレンダー[[#This Row],[月]]&lt;=6,"Q1",IF(W_カレンダー[[#This Row],[月]]&lt;=9,"Q2","Q3")))</f>
        <v>Q3</v>
      </c>
    </row>
    <row r="201" spans="1:5" ht="18" customHeight="1" x14ac:dyDescent="0.25">
      <c r="A201" s="27">
        <v>45216</v>
      </c>
      <c r="B201" s="29">
        <f>MONTH(W_カレンダー[[#This Row],[日付]])</f>
        <v>10</v>
      </c>
      <c r="C201" s="1">
        <f>YEAR(W_カレンダー[[#This Row],[日付]])</f>
        <v>2023</v>
      </c>
      <c r="D201" s="1">
        <f>IF(W_カレンダー[[#This Row],[月]]&lt;=3,W_カレンダー[[#This Row],[暦年]]-1,W_カレンダー[[#This Row],[暦年]])</f>
        <v>2023</v>
      </c>
      <c r="E201" s="1" t="str">
        <f>IF(W_カレンダー[[#This Row],[月]]&lt;=3,"Q4",IF(W_カレンダー[[#This Row],[月]]&lt;=6,"Q1",IF(W_カレンダー[[#This Row],[月]]&lt;=9,"Q2","Q3")))</f>
        <v>Q3</v>
      </c>
    </row>
    <row r="202" spans="1:5" ht="18" customHeight="1" x14ac:dyDescent="0.25">
      <c r="A202" s="27">
        <v>45217</v>
      </c>
      <c r="B202" s="29">
        <f>MONTH(W_カレンダー[[#This Row],[日付]])</f>
        <v>10</v>
      </c>
      <c r="C202" s="1">
        <f>YEAR(W_カレンダー[[#This Row],[日付]])</f>
        <v>2023</v>
      </c>
      <c r="D202" s="1">
        <f>IF(W_カレンダー[[#This Row],[月]]&lt;=3,W_カレンダー[[#This Row],[暦年]]-1,W_カレンダー[[#This Row],[暦年]])</f>
        <v>2023</v>
      </c>
      <c r="E202" s="1" t="str">
        <f>IF(W_カレンダー[[#This Row],[月]]&lt;=3,"Q4",IF(W_カレンダー[[#This Row],[月]]&lt;=6,"Q1",IF(W_カレンダー[[#This Row],[月]]&lt;=9,"Q2","Q3")))</f>
        <v>Q3</v>
      </c>
    </row>
    <row r="203" spans="1:5" ht="18" customHeight="1" x14ac:dyDescent="0.25">
      <c r="A203" s="27">
        <v>45218</v>
      </c>
      <c r="B203" s="29">
        <f>MONTH(W_カレンダー[[#This Row],[日付]])</f>
        <v>10</v>
      </c>
      <c r="C203" s="1">
        <f>YEAR(W_カレンダー[[#This Row],[日付]])</f>
        <v>2023</v>
      </c>
      <c r="D203" s="1">
        <f>IF(W_カレンダー[[#This Row],[月]]&lt;=3,W_カレンダー[[#This Row],[暦年]]-1,W_カレンダー[[#This Row],[暦年]])</f>
        <v>2023</v>
      </c>
      <c r="E203" s="1" t="str">
        <f>IF(W_カレンダー[[#This Row],[月]]&lt;=3,"Q4",IF(W_カレンダー[[#This Row],[月]]&lt;=6,"Q1",IF(W_カレンダー[[#This Row],[月]]&lt;=9,"Q2","Q3")))</f>
        <v>Q3</v>
      </c>
    </row>
    <row r="204" spans="1:5" ht="18" customHeight="1" x14ac:dyDescent="0.25">
      <c r="A204" s="27">
        <v>45219</v>
      </c>
      <c r="B204" s="29">
        <f>MONTH(W_カレンダー[[#This Row],[日付]])</f>
        <v>10</v>
      </c>
      <c r="C204" s="1">
        <f>YEAR(W_カレンダー[[#This Row],[日付]])</f>
        <v>2023</v>
      </c>
      <c r="D204" s="1">
        <f>IF(W_カレンダー[[#This Row],[月]]&lt;=3,W_カレンダー[[#This Row],[暦年]]-1,W_カレンダー[[#This Row],[暦年]])</f>
        <v>2023</v>
      </c>
      <c r="E204" s="1" t="str">
        <f>IF(W_カレンダー[[#This Row],[月]]&lt;=3,"Q4",IF(W_カレンダー[[#This Row],[月]]&lt;=6,"Q1",IF(W_カレンダー[[#This Row],[月]]&lt;=9,"Q2","Q3")))</f>
        <v>Q3</v>
      </c>
    </row>
    <row r="205" spans="1:5" ht="18" customHeight="1" x14ac:dyDescent="0.25">
      <c r="A205" s="27">
        <v>45220</v>
      </c>
      <c r="B205" s="29">
        <f>MONTH(W_カレンダー[[#This Row],[日付]])</f>
        <v>10</v>
      </c>
      <c r="C205" s="1">
        <f>YEAR(W_カレンダー[[#This Row],[日付]])</f>
        <v>2023</v>
      </c>
      <c r="D205" s="1">
        <f>IF(W_カレンダー[[#This Row],[月]]&lt;=3,W_カレンダー[[#This Row],[暦年]]-1,W_カレンダー[[#This Row],[暦年]])</f>
        <v>2023</v>
      </c>
      <c r="E205" s="1" t="str">
        <f>IF(W_カレンダー[[#This Row],[月]]&lt;=3,"Q4",IF(W_カレンダー[[#This Row],[月]]&lt;=6,"Q1",IF(W_カレンダー[[#This Row],[月]]&lt;=9,"Q2","Q3")))</f>
        <v>Q3</v>
      </c>
    </row>
    <row r="206" spans="1:5" ht="18" customHeight="1" x14ac:dyDescent="0.25">
      <c r="A206" s="27">
        <v>45221</v>
      </c>
      <c r="B206" s="29">
        <f>MONTH(W_カレンダー[[#This Row],[日付]])</f>
        <v>10</v>
      </c>
      <c r="C206" s="1">
        <f>YEAR(W_カレンダー[[#This Row],[日付]])</f>
        <v>2023</v>
      </c>
      <c r="D206" s="1">
        <f>IF(W_カレンダー[[#This Row],[月]]&lt;=3,W_カレンダー[[#This Row],[暦年]]-1,W_カレンダー[[#This Row],[暦年]])</f>
        <v>2023</v>
      </c>
      <c r="E206" s="1" t="str">
        <f>IF(W_カレンダー[[#This Row],[月]]&lt;=3,"Q4",IF(W_カレンダー[[#This Row],[月]]&lt;=6,"Q1",IF(W_カレンダー[[#This Row],[月]]&lt;=9,"Q2","Q3")))</f>
        <v>Q3</v>
      </c>
    </row>
    <row r="207" spans="1:5" ht="18" customHeight="1" x14ac:dyDescent="0.25">
      <c r="A207" s="27">
        <v>45222</v>
      </c>
      <c r="B207" s="29">
        <f>MONTH(W_カレンダー[[#This Row],[日付]])</f>
        <v>10</v>
      </c>
      <c r="C207" s="1">
        <f>YEAR(W_カレンダー[[#This Row],[日付]])</f>
        <v>2023</v>
      </c>
      <c r="D207" s="1">
        <f>IF(W_カレンダー[[#This Row],[月]]&lt;=3,W_カレンダー[[#This Row],[暦年]]-1,W_カレンダー[[#This Row],[暦年]])</f>
        <v>2023</v>
      </c>
      <c r="E207" s="1" t="str">
        <f>IF(W_カレンダー[[#This Row],[月]]&lt;=3,"Q4",IF(W_カレンダー[[#This Row],[月]]&lt;=6,"Q1",IF(W_カレンダー[[#This Row],[月]]&lt;=9,"Q2","Q3")))</f>
        <v>Q3</v>
      </c>
    </row>
    <row r="208" spans="1:5" ht="18" customHeight="1" x14ac:dyDescent="0.25">
      <c r="A208" s="27">
        <v>45223</v>
      </c>
      <c r="B208" s="29">
        <f>MONTH(W_カレンダー[[#This Row],[日付]])</f>
        <v>10</v>
      </c>
      <c r="C208" s="1">
        <f>YEAR(W_カレンダー[[#This Row],[日付]])</f>
        <v>2023</v>
      </c>
      <c r="D208" s="1">
        <f>IF(W_カレンダー[[#This Row],[月]]&lt;=3,W_カレンダー[[#This Row],[暦年]]-1,W_カレンダー[[#This Row],[暦年]])</f>
        <v>2023</v>
      </c>
      <c r="E208" s="1" t="str">
        <f>IF(W_カレンダー[[#This Row],[月]]&lt;=3,"Q4",IF(W_カレンダー[[#This Row],[月]]&lt;=6,"Q1",IF(W_カレンダー[[#This Row],[月]]&lt;=9,"Q2","Q3")))</f>
        <v>Q3</v>
      </c>
    </row>
    <row r="209" spans="1:5" ht="18" customHeight="1" x14ac:dyDescent="0.25">
      <c r="A209" s="27">
        <v>45224</v>
      </c>
      <c r="B209" s="29">
        <f>MONTH(W_カレンダー[[#This Row],[日付]])</f>
        <v>10</v>
      </c>
      <c r="C209" s="1">
        <f>YEAR(W_カレンダー[[#This Row],[日付]])</f>
        <v>2023</v>
      </c>
      <c r="D209" s="1">
        <f>IF(W_カレンダー[[#This Row],[月]]&lt;=3,W_カレンダー[[#This Row],[暦年]]-1,W_カレンダー[[#This Row],[暦年]])</f>
        <v>2023</v>
      </c>
      <c r="E209" s="1" t="str">
        <f>IF(W_カレンダー[[#This Row],[月]]&lt;=3,"Q4",IF(W_カレンダー[[#This Row],[月]]&lt;=6,"Q1",IF(W_カレンダー[[#This Row],[月]]&lt;=9,"Q2","Q3")))</f>
        <v>Q3</v>
      </c>
    </row>
    <row r="210" spans="1:5" ht="18" customHeight="1" x14ac:dyDescent="0.25">
      <c r="A210" s="27">
        <v>45225</v>
      </c>
      <c r="B210" s="29">
        <f>MONTH(W_カレンダー[[#This Row],[日付]])</f>
        <v>10</v>
      </c>
      <c r="C210" s="1">
        <f>YEAR(W_カレンダー[[#This Row],[日付]])</f>
        <v>2023</v>
      </c>
      <c r="D210" s="1">
        <f>IF(W_カレンダー[[#This Row],[月]]&lt;=3,W_カレンダー[[#This Row],[暦年]]-1,W_カレンダー[[#This Row],[暦年]])</f>
        <v>2023</v>
      </c>
      <c r="E210" s="1" t="str">
        <f>IF(W_カレンダー[[#This Row],[月]]&lt;=3,"Q4",IF(W_カレンダー[[#This Row],[月]]&lt;=6,"Q1",IF(W_カレンダー[[#This Row],[月]]&lt;=9,"Q2","Q3")))</f>
        <v>Q3</v>
      </c>
    </row>
    <row r="211" spans="1:5" ht="18" customHeight="1" x14ac:dyDescent="0.25">
      <c r="A211" s="27">
        <v>45226</v>
      </c>
      <c r="B211" s="29">
        <f>MONTH(W_カレンダー[[#This Row],[日付]])</f>
        <v>10</v>
      </c>
      <c r="C211" s="1">
        <f>YEAR(W_カレンダー[[#This Row],[日付]])</f>
        <v>2023</v>
      </c>
      <c r="D211" s="1">
        <f>IF(W_カレンダー[[#This Row],[月]]&lt;=3,W_カレンダー[[#This Row],[暦年]]-1,W_カレンダー[[#This Row],[暦年]])</f>
        <v>2023</v>
      </c>
      <c r="E211" s="1" t="str">
        <f>IF(W_カレンダー[[#This Row],[月]]&lt;=3,"Q4",IF(W_カレンダー[[#This Row],[月]]&lt;=6,"Q1",IF(W_カレンダー[[#This Row],[月]]&lt;=9,"Q2","Q3")))</f>
        <v>Q3</v>
      </c>
    </row>
    <row r="212" spans="1:5" ht="18" customHeight="1" x14ac:dyDescent="0.25">
      <c r="A212" s="27">
        <v>45227</v>
      </c>
      <c r="B212" s="29">
        <f>MONTH(W_カレンダー[[#This Row],[日付]])</f>
        <v>10</v>
      </c>
      <c r="C212" s="1">
        <f>YEAR(W_カレンダー[[#This Row],[日付]])</f>
        <v>2023</v>
      </c>
      <c r="D212" s="1">
        <f>IF(W_カレンダー[[#This Row],[月]]&lt;=3,W_カレンダー[[#This Row],[暦年]]-1,W_カレンダー[[#This Row],[暦年]])</f>
        <v>2023</v>
      </c>
      <c r="E212" s="1" t="str">
        <f>IF(W_カレンダー[[#This Row],[月]]&lt;=3,"Q4",IF(W_カレンダー[[#This Row],[月]]&lt;=6,"Q1",IF(W_カレンダー[[#This Row],[月]]&lt;=9,"Q2","Q3")))</f>
        <v>Q3</v>
      </c>
    </row>
    <row r="213" spans="1:5" ht="18" customHeight="1" x14ac:dyDescent="0.25">
      <c r="A213" s="27">
        <v>45228</v>
      </c>
      <c r="B213" s="29">
        <f>MONTH(W_カレンダー[[#This Row],[日付]])</f>
        <v>10</v>
      </c>
      <c r="C213" s="1">
        <f>YEAR(W_カレンダー[[#This Row],[日付]])</f>
        <v>2023</v>
      </c>
      <c r="D213" s="1">
        <f>IF(W_カレンダー[[#This Row],[月]]&lt;=3,W_カレンダー[[#This Row],[暦年]]-1,W_カレンダー[[#This Row],[暦年]])</f>
        <v>2023</v>
      </c>
      <c r="E213" s="1" t="str">
        <f>IF(W_カレンダー[[#This Row],[月]]&lt;=3,"Q4",IF(W_カレンダー[[#This Row],[月]]&lt;=6,"Q1",IF(W_カレンダー[[#This Row],[月]]&lt;=9,"Q2","Q3")))</f>
        <v>Q3</v>
      </c>
    </row>
    <row r="214" spans="1:5" ht="18" customHeight="1" x14ac:dyDescent="0.25">
      <c r="A214" s="27">
        <v>45229</v>
      </c>
      <c r="B214" s="29">
        <f>MONTH(W_カレンダー[[#This Row],[日付]])</f>
        <v>10</v>
      </c>
      <c r="C214" s="1">
        <f>YEAR(W_カレンダー[[#This Row],[日付]])</f>
        <v>2023</v>
      </c>
      <c r="D214" s="1">
        <f>IF(W_カレンダー[[#This Row],[月]]&lt;=3,W_カレンダー[[#This Row],[暦年]]-1,W_カレンダー[[#This Row],[暦年]])</f>
        <v>2023</v>
      </c>
      <c r="E214" s="1" t="str">
        <f>IF(W_カレンダー[[#This Row],[月]]&lt;=3,"Q4",IF(W_カレンダー[[#This Row],[月]]&lt;=6,"Q1",IF(W_カレンダー[[#This Row],[月]]&lt;=9,"Q2","Q3")))</f>
        <v>Q3</v>
      </c>
    </row>
    <row r="215" spans="1:5" ht="18" customHeight="1" x14ac:dyDescent="0.25">
      <c r="A215" s="27">
        <v>45230</v>
      </c>
      <c r="B215" s="29">
        <f>MONTH(W_カレンダー[[#This Row],[日付]])</f>
        <v>10</v>
      </c>
      <c r="C215" s="1">
        <f>YEAR(W_カレンダー[[#This Row],[日付]])</f>
        <v>2023</v>
      </c>
      <c r="D215" s="1">
        <f>IF(W_カレンダー[[#This Row],[月]]&lt;=3,W_カレンダー[[#This Row],[暦年]]-1,W_カレンダー[[#This Row],[暦年]])</f>
        <v>2023</v>
      </c>
      <c r="E215" s="1" t="str">
        <f>IF(W_カレンダー[[#This Row],[月]]&lt;=3,"Q4",IF(W_カレンダー[[#This Row],[月]]&lt;=6,"Q1",IF(W_カレンダー[[#This Row],[月]]&lt;=9,"Q2","Q3")))</f>
        <v>Q3</v>
      </c>
    </row>
    <row r="216" spans="1:5" ht="18" customHeight="1" x14ac:dyDescent="0.25">
      <c r="A216" s="27">
        <v>45231</v>
      </c>
      <c r="B216" s="29">
        <f>MONTH(W_カレンダー[[#This Row],[日付]])</f>
        <v>11</v>
      </c>
      <c r="C216" s="1">
        <f>YEAR(W_カレンダー[[#This Row],[日付]])</f>
        <v>2023</v>
      </c>
      <c r="D216" s="1">
        <f>IF(W_カレンダー[[#This Row],[月]]&lt;=3,W_カレンダー[[#This Row],[暦年]]-1,W_カレンダー[[#This Row],[暦年]])</f>
        <v>2023</v>
      </c>
      <c r="E216" s="1" t="str">
        <f>IF(W_カレンダー[[#This Row],[月]]&lt;=3,"Q4",IF(W_カレンダー[[#This Row],[月]]&lt;=6,"Q1",IF(W_カレンダー[[#This Row],[月]]&lt;=9,"Q2","Q3")))</f>
        <v>Q3</v>
      </c>
    </row>
    <row r="217" spans="1:5" ht="18" customHeight="1" x14ac:dyDescent="0.25">
      <c r="A217" s="27">
        <v>45232</v>
      </c>
      <c r="B217" s="29">
        <f>MONTH(W_カレンダー[[#This Row],[日付]])</f>
        <v>11</v>
      </c>
      <c r="C217" s="1">
        <f>YEAR(W_カレンダー[[#This Row],[日付]])</f>
        <v>2023</v>
      </c>
      <c r="D217" s="1">
        <f>IF(W_カレンダー[[#This Row],[月]]&lt;=3,W_カレンダー[[#This Row],[暦年]]-1,W_カレンダー[[#This Row],[暦年]])</f>
        <v>2023</v>
      </c>
      <c r="E217" s="1" t="str">
        <f>IF(W_カレンダー[[#This Row],[月]]&lt;=3,"Q4",IF(W_カレンダー[[#This Row],[月]]&lt;=6,"Q1",IF(W_カレンダー[[#This Row],[月]]&lt;=9,"Q2","Q3")))</f>
        <v>Q3</v>
      </c>
    </row>
    <row r="218" spans="1:5" ht="18" customHeight="1" x14ac:dyDescent="0.25">
      <c r="A218" s="27">
        <v>45233</v>
      </c>
      <c r="B218" s="29">
        <f>MONTH(W_カレンダー[[#This Row],[日付]])</f>
        <v>11</v>
      </c>
      <c r="C218" s="1">
        <f>YEAR(W_カレンダー[[#This Row],[日付]])</f>
        <v>2023</v>
      </c>
      <c r="D218" s="1">
        <f>IF(W_カレンダー[[#This Row],[月]]&lt;=3,W_カレンダー[[#This Row],[暦年]]-1,W_カレンダー[[#This Row],[暦年]])</f>
        <v>2023</v>
      </c>
      <c r="E218" s="1" t="str">
        <f>IF(W_カレンダー[[#This Row],[月]]&lt;=3,"Q4",IF(W_カレンダー[[#This Row],[月]]&lt;=6,"Q1",IF(W_カレンダー[[#This Row],[月]]&lt;=9,"Q2","Q3")))</f>
        <v>Q3</v>
      </c>
    </row>
    <row r="219" spans="1:5" ht="18" customHeight="1" x14ac:dyDescent="0.25">
      <c r="A219" s="27">
        <v>45234</v>
      </c>
      <c r="B219" s="29">
        <f>MONTH(W_カレンダー[[#This Row],[日付]])</f>
        <v>11</v>
      </c>
      <c r="C219" s="1">
        <f>YEAR(W_カレンダー[[#This Row],[日付]])</f>
        <v>2023</v>
      </c>
      <c r="D219" s="1">
        <f>IF(W_カレンダー[[#This Row],[月]]&lt;=3,W_カレンダー[[#This Row],[暦年]]-1,W_カレンダー[[#This Row],[暦年]])</f>
        <v>2023</v>
      </c>
      <c r="E219" s="1" t="str">
        <f>IF(W_カレンダー[[#This Row],[月]]&lt;=3,"Q4",IF(W_カレンダー[[#This Row],[月]]&lt;=6,"Q1",IF(W_カレンダー[[#This Row],[月]]&lt;=9,"Q2","Q3")))</f>
        <v>Q3</v>
      </c>
    </row>
    <row r="220" spans="1:5" ht="18" customHeight="1" x14ac:dyDescent="0.25">
      <c r="A220" s="27">
        <v>45235</v>
      </c>
      <c r="B220" s="29">
        <f>MONTH(W_カレンダー[[#This Row],[日付]])</f>
        <v>11</v>
      </c>
      <c r="C220" s="1">
        <f>YEAR(W_カレンダー[[#This Row],[日付]])</f>
        <v>2023</v>
      </c>
      <c r="D220" s="1">
        <f>IF(W_カレンダー[[#This Row],[月]]&lt;=3,W_カレンダー[[#This Row],[暦年]]-1,W_カレンダー[[#This Row],[暦年]])</f>
        <v>2023</v>
      </c>
      <c r="E220" s="1" t="str">
        <f>IF(W_カレンダー[[#This Row],[月]]&lt;=3,"Q4",IF(W_カレンダー[[#This Row],[月]]&lt;=6,"Q1",IF(W_カレンダー[[#This Row],[月]]&lt;=9,"Q2","Q3")))</f>
        <v>Q3</v>
      </c>
    </row>
    <row r="221" spans="1:5" ht="18" customHeight="1" x14ac:dyDescent="0.25">
      <c r="A221" s="27">
        <v>45236</v>
      </c>
      <c r="B221" s="29">
        <f>MONTH(W_カレンダー[[#This Row],[日付]])</f>
        <v>11</v>
      </c>
      <c r="C221" s="1">
        <f>YEAR(W_カレンダー[[#This Row],[日付]])</f>
        <v>2023</v>
      </c>
      <c r="D221" s="1">
        <f>IF(W_カレンダー[[#This Row],[月]]&lt;=3,W_カレンダー[[#This Row],[暦年]]-1,W_カレンダー[[#This Row],[暦年]])</f>
        <v>2023</v>
      </c>
      <c r="E221" s="1" t="str">
        <f>IF(W_カレンダー[[#This Row],[月]]&lt;=3,"Q4",IF(W_カレンダー[[#This Row],[月]]&lt;=6,"Q1",IF(W_カレンダー[[#This Row],[月]]&lt;=9,"Q2","Q3")))</f>
        <v>Q3</v>
      </c>
    </row>
    <row r="222" spans="1:5" ht="18" customHeight="1" x14ac:dyDescent="0.25">
      <c r="A222" s="27">
        <v>45237</v>
      </c>
      <c r="B222" s="29">
        <f>MONTH(W_カレンダー[[#This Row],[日付]])</f>
        <v>11</v>
      </c>
      <c r="C222" s="1">
        <f>YEAR(W_カレンダー[[#This Row],[日付]])</f>
        <v>2023</v>
      </c>
      <c r="D222" s="1">
        <f>IF(W_カレンダー[[#This Row],[月]]&lt;=3,W_カレンダー[[#This Row],[暦年]]-1,W_カレンダー[[#This Row],[暦年]])</f>
        <v>2023</v>
      </c>
      <c r="E222" s="1" t="str">
        <f>IF(W_カレンダー[[#This Row],[月]]&lt;=3,"Q4",IF(W_カレンダー[[#This Row],[月]]&lt;=6,"Q1",IF(W_カレンダー[[#This Row],[月]]&lt;=9,"Q2","Q3")))</f>
        <v>Q3</v>
      </c>
    </row>
    <row r="223" spans="1:5" ht="18" customHeight="1" x14ac:dyDescent="0.25">
      <c r="A223" s="27">
        <v>45238</v>
      </c>
      <c r="B223" s="29">
        <f>MONTH(W_カレンダー[[#This Row],[日付]])</f>
        <v>11</v>
      </c>
      <c r="C223" s="1">
        <f>YEAR(W_カレンダー[[#This Row],[日付]])</f>
        <v>2023</v>
      </c>
      <c r="D223" s="1">
        <f>IF(W_カレンダー[[#This Row],[月]]&lt;=3,W_カレンダー[[#This Row],[暦年]]-1,W_カレンダー[[#This Row],[暦年]])</f>
        <v>2023</v>
      </c>
      <c r="E223" s="1" t="str">
        <f>IF(W_カレンダー[[#This Row],[月]]&lt;=3,"Q4",IF(W_カレンダー[[#This Row],[月]]&lt;=6,"Q1",IF(W_カレンダー[[#This Row],[月]]&lt;=9,"Q2","Q3")))</f>
        <v>Q3</v>
      </c>
    </row>
    <row r="224" spans="1:5" ht="18" customHeight="1" x14ac:dyDescent="0.25">
      <c r="A224" s="27">
        <v>45239</v>
      </c>
      <c r="B224" s="29">
        <f>MONTH(W_カレンダー[[#This Row],[日付]])</f>
        <v>11</v>
      </c>
      <c r="C224" s="1">
        <f>YEAR(W_カレンダー[[#This Row],[日付]])</f>
        <v>2023</v>
      </c>
      <c r="D224" s="1">
        <f>IF(W_カレンダー[[#This Row],[月]]&lt;=3,W_カレンダー[[#This Row],[暦年]]-1,W_カレンダー[[#This Row],[暦年]])</f>
        <v>2023</v>
      </c>
      <c r="E224" s="1" t="str">
        <f>IF(W_カレンダー[[#This Row],[月]]&lt;=3,"Q4",IF(W_カレンダー[[#This Row],[月]]&lt;=6,"Q1",IF(W_カレンダー[[#This Row],[月]]&lt;=9,"Q2","Q3")))</f>
        <v>Q3</v>
      </c>
    </row>
    <row r="225" spans="1:5" ht="18" customHeight="1" x14ac:dyDescent="0.25">
      <c r="A225" s="27">
        <v>45240</v>
      </c>
      <c r="B225" s="29">
        <f>MONTH(W_カレンダー[[#This Row],[日付]])</f>
        <v>11</v>
      </c>
      <c r="C225" s="1">
        <f>YEAR(W_カレンダー[[#This Row],[日付]])</f>
        <v>2023</v>
      </c>
      <c r="D225" s="1">
        <f>IF(W_カレンダー[[#This Row],[月]]&lt;=3,W_カレンダー[[#This Row],[暦年]]-1,W_カレンダー[[#This Row],[暦年]])</f>
        <v>2023</v>
      </c>
      <c r="E225" s="1" t="str">
        <f>IF(W_カレンダー[[#This Row],[月]]&lt;=3,"Q4",IF(W_カレンダー[[#This Row],[月]]&lt;=6,"Q1",IF(W_カレンダー[[#This Row],[月]]&lt;=9,"Q2","Q3")))</f>
        <v>Q3</v>
      </c>
    </row>
    <row r="226" spans="1:5" ht="18" customHeight="1" x14ac:dyDescent="0.25">
      <c r="A226" s="27">
        <v>45241</v>
      </c>
      <c r="B226" s="29">
        <f>MONTH(W_カレンダー[[#This Row],[日付]])</f>
        <v>11</v>
      </c>
      <c r="C226" s="1">
        <f>YEAR(W_カレンダー[[#This Row],[日付]])</f>
        <v>2023</v>
      </c>
      <c r="D226" s="1">
        <f>IF(W_カレンダー[[#This Row],[月]]&lt;=3,W_カレンダー[[#This Row],[暦年]]-1,W_カレンダー[[#This Row],[暦年]])</f>
        <v>2023</v>
      </c>
      <c r="E226" s="1" t="str">
        <f>IF(W_カレンダー[[#This Row],[月]]&lt;=3,"Q4",IF(W_カレンダー[[#This Row],[月]]&lt;=6,"Q1",IF(W_カレンダー[[#This Row],[月]]&lt;=9,"Q2","Q3")))</f>
        <v>Q3</v>
      </c>
    </row>
    <row r="227" spans="1:5" ht="18" customHeight="1" x14ac:dyDescent="0.25">
      <c r="A227" s="27">
        <v>45242</v>
      </c>
      <c r="B227" s="29">
        <f>MONTH(W_カレンダー[[#This Row],[日付]])</f>
        <v>11</v>
      </c>
      <c r="C227" s="1">
        <f>YEAR(W_カレンダー[[#This Row],[日付]])</f>
        <v>2023</v>
      </c>
      <c r="D227" s="1">
        <f>IF(W_カレンダー[[#This Row],[月]]&lt;=3,W_カレンダー[[#This Row],[暦年]]-1,W_カレンダー[[#This Row],[暦年]])</f>
        <v>2023</v>
      </c>
      <c r="E227" s="1" t="str">
        <f>IF(W_カレンダー[[#This Row],[月]]&lt;=3,"Q4",IF(W_カレンダー[[#This Row],[月]]&lt;=6,"Q1",IF(W_カレンダー[[#This Row],[月]]&lt;=9,"Q2","Q3")))</f>
        <v>Q3</v>
      </c>
    </row>
    <row r="228" spans="1:5" ht="18" customHeight="1" x14ac:dyDescent="0.25">
      <c r="A228" s="27">
        <v>45243</v>
      </c>
      <c r="B228" s="29">
        <f>MONTH(W_カレンダー[[#This Row],[日付]])</f>
        <v>11</v>
      </c>
      <c r="C228" s="1">
        <f>YEAR(W_カレンダー[[#This Row],[日付]])</f>
        <v>2023</v>
      </c>
      <c r="D228" s="1">
        <f>IF(W_カレンダー[[#This Row],[月]]&lt;=3,W_カレンダー[[#This Row],[暦年]]-1,W_カレンダー[[#This Row],[暦年]])</f>
        <v>2023</v>
      </c>
      <c r="E228" s="1" t="str">
        <f>IF(W_カレンダー[[#This Row],[月]]&lt;=3,"Q4",IF(W_カレンダー[[#This Row],[月]]&lt;=6,"Q1",IF(W_カレンダー[[#This Row],[月]]&lt;=9,"Q2","Q3")))</f>
        <v>Q3</v>
      </c>
    </row>
    <row r="229" spans="1:5" ht="18" customHeight="1" x14ac:dyDescent="0.25">
      <c r="A229" s="27">
        <v>45244</v>
      </c>
      <c r="B229" s="29">
        <f>MONTH(W_カレンダー[[#This Row],[日付]])</f>
        <v>11</v>
      </c>
      <c r="C229" s="1">
        <f>YEAR(W_カレンダー[[#This Row],[日付]])</f>
        <v>2023</v>
      </c>
      <c r="D229" s="1">
        <f>IF(W_カレンダー[[#This Row],[月]]&lt;=3,W_カレンダー[[#This Row],[暦年]]-1,W_カレンダー[[#This Row],[暦年]])</f>
        <v>2023</v>
      </c>
      <c r="E229" s="1" t="str">
        <f>IF(W_カレンダー[[#This Row],[月]]&lt;=3,"Q4",IF(W_カレンダー[[#This Row],[月]]&lt;=6,"Q1",IF(W_カレンダー[[#This Row],[月]]&lt;=9,"Q2","Q3")))</f>
        <v>Q3</v>
      </c>
    </row>
    <row r="230" spans="1:5" ht="18" customHeight="1" x14ac:dyDescent="0.25">
      <c r="A230" s="27">
        <v>45245</v>
      </c>
      <c r="B230" s="29">
        <f>MONTH(W_カレンダー[[#This Row],[日付]])</f>
        <v>11</v>
      </c>
      <c r="C230" s="1">
        <f>YEAR(W_カレンダー[[#This Row],[日付]])</f>
        <v>2023</v>
      </c>
      <c r="D230" s="1">
        <f>IF(W_カレンダー[[#This Row],[月]]&lt;=3,W_カレンダー[[#This Row],[暦年]]-1,W_カレンダー[[#This Row],[暦年]])</f>
        <v>2023</v>
      </c>
      <c r="E230" s="1" t="str">
        <f>IF(W_カレンダー[[#This Row],[月]]&lt;=3,"Q4",IF(W_カレンダー[[#This Row],[月]]&lt;=6,"Q1",IF(W_カレンダー[[#This Row],[月]]&lt;=9,"Q2","Q3")))</f>
        <v>Q3</v>
      </c>
    </row>
    <row r="231" spans="1:5" ht="18" customHeight="1" x14ac:dyDescent="0.25">
      <c r="A231" s="27">
        <v>45246</v>
      </c>
      <c r="B231" s="29">
        <f>MONTH(W_カレンダー[[#This Row],[日付]])</f>
        <v>11</v>
      </c>
      <c r="C231" s="1">
        <f>YEAR(W_カレンダー[[#This Row],[日付]])</f>
        <v>2023</v>
      </c>
      <c r="D231" s="1">
        <f>IF(W_カレンダー[[#This Row],[月]]&lt;=3,W_カレンダー[[#This Row],[暦年]]-1,W_カレンダー[[#This Row],[暦年]])</f>
        <v>2023</v>
      </c>
      <c r="E231" s="1" t="str">
        <f>IF(W_カレンダー[[#This Row],[月]]&lt;=3,"Q4",IF(W_カレンダー[[#This Row],[月]]&lt;=6,"Q1",IF(W_カレンダー[[#This Row],[月]]&lt;=9,"Q2","Q3")))</f>
        <v>Q3</v>
      </c>
    </row>
    <row r="232" spans="1:5" ht="18" customHeight="1" x14ac:dyDescent="0.25">
      <c r="A232" s="27">
        <v>45247</v>
      </c>
      <c r="B232" s="29">
        <f>MONTH(W_カレンダー[[#This Row],[日付]])</f>
        <v>11</v>
      </c>
      <c r="C232" s="1">
        <f>YEAR(W_カレンダー[[#This Row],[日付]])</f>
        <v>2023</v>
      </c>
      <c r="D232" s="1">
        <f>IF(W_カレンダー[[#This Row],[月]]&lt;=3,W_カレンダー[[#This Row],[暦年]]-1,W_カレンダー[[#This Row],[暦年]])</f>
        <v>2023</v>
      </c>
      <c r="E232" s="1" t="str">
        <f>IF(W_カレンダー[[#This Row],[月]]&lt;=3,"Q4",IF(W_カレンダー[[#This Row],[月]]&lt;=6,"Q1",IF(W_カレンダー[[#This Row],[月]]&lt;=9,"Q2","Q3")))</f>
        <v>Q3</v>
      </c>
    </row>
    <row r="233" spans="1:5" ht="18" customHeight="1" x14ac:dyDescent="0.25">
      <c r="A233" s="27">
        <v>45248</v>
      </c>
      <c r="B233" s="29">
        <f>MONTH(W_カレンダー[[#This Row],[日付]])</f>
        <v>11</v>
      </c>
      <c r="C233" s="1">
        <f>YEAR(W_カレンダー[[#This Row],[日付]])</f>
        <v>2023</v>
      </c>
      <c r="D233" s="1">
        <f>IF(W_カレンダー[[#This Row],[月]]&lt;=3,W_カレンダー[[#This Row],[暦年]]-1,W_カレンダー[[#This Row],[暦年]])</f>
        <v>2023</v>
      </c>
      <c r="E233" s="1" t="str">
        <f>IF(W_カレンダー[[#This Row],[月]]&lt;=3,"Q4",IF(W_カレンダー[[#This Row],[月]]&lt;=6,"Q1",IF(W_カレンダー[[#This Row],[月]]&lt;=9,"Q2","Q3")))</f>
        <v>Q3</v>
      </c>
    </row>
    <row r="234" spans="1:5" ht="18" customHeight="1" x14ac:dyDescent="0.25">
      <c r="A234" s="27">
        <v>45249</v>
      </c>
      <c r="B234" s="29">
        <f>MONTH(W_カレンダー[[#This Row],[日付]])</f>
        <v>11</v>
      </c>
      <c r="C234" s="1">
        <f>YEAR(W_カレンダー[[#This Row],[日付]])</f>
        <v>2023</v>
      </c>
      <c r="D234" s="1">
        <f>IF(W_カレンダー[[#This Row],[月]]&lt;=3,W_カレンダー[[#This Row],[暦年]]-1,W_カレンダー[[#This Row],[暦年]])</f>
        <v>2023</v>
      </c>
      <c r="E234" s="1" t="str">
        <f>IF(W_カレンダー[[#This Row],[月]]&lt;=3,"Q4",IF(W_カレンダー[[#This Row],[月]]&lt;=6,"Q1",IF(W_カレンダー[[#This Row],[月]]&lt;=9,"Q2","Q3")))</f>
        <v>Q3</v>
      </c>
    </row>
    <row r="235" spans="1:5" ht="18" customHeight="1" x14ac:dyDescent="0.25">
      <c r="A235" s="27">
        <v>45250</v>
      </c>
      <c r="B235" s="29">
        <f>MONTH(W_カレンダー[[#This Row],[日付]])</f>
        <v>11</v>
      </c>
      <c r="C235" s="1">
        <f>YEAR(W_カレンダー[[#This Row],[日付]])</f>
        <v>2023</v>
      </c>
      <c r="D235" s="1">
        <f>IF(W_カレンダー[[#This Row],[月]]&lt;=3,W_カレンダー[[#This Row],[暦年]]-1,W_カレンダー[[#This Row],[暦年]])</f>
        <v>2023</v>
      </c>
      <c r="E235" s="1" t="str">
        <f>IF(W_カレンダー[[#This Row],[月]]&lt;=3,"Q4",IF(W_カレンダー[[#This Row],[月]]&lt;=6,"Q1",IF(W_カレンダー[[#This Row],[月]]&lt;=9,"Q2","Q3")))</f>
        <v>Q3</v>
      </c>
    </row>
    <row r="236" spans="1:5" ht="18" customHeight="1" x14ac:dyDescent="0.25">
      <c r="A236" s="27">
        <v>45251</v>
      </c>
      <c r="B236" s="29">
        <f>MONTH(W_カレンダー[[#This Row],[日付]])</f>
        <v>11</v>
      </c>
      <c r="C236" s="1">
        <f>YEAR(W_カレンダー[[#This Row],[日付]])</f>
        <v>2023</v>
      </c>
      <c r="D236" s="1">
        <f>IF(W_カレンダー[[#This Row],[月]]&lt;=3,W_カレンダー[[#This Row],[暦年]]-1,W_カレンダー[[#This Row],[暦年]])</f>
        <v>2023</v>
      </c>
      <c r="E236" s="1" t="str">
        <f>IF(W_カレンダー[[#This Row],[月]]&lt;=3,"Q4",IF(W_カレンダー[[#This Row],[月]]&lt;=6,"Q1",IF(W_カレンダー[[#This Row],[月]]&lt;=9,"Q2","Q3")))</f>
        <v>Q3</v>
      </c>
    </row>
    <row r="237" spans="1:5" ht="18" customHeight="1" x14ac:dyDescent="0.25">
      <c r="A237" s="27">
        <v>45252</v>
      </c>
      <c r="B237" s="29">
        <f>MONTH(W_カレンダー[[#This Row],[日付]])</f>
        <v>11</v>
      </c>
      <c r="C237" s="1">
        <f>YEAR(W_カレンダー[[#This Row],[日付]])</f>
        <v>2023</v>
      </c>
      <c r="D237" s="1">
        <f>IF(W_カレンダー[[#This Row],[月]]&lt;=3,W_カレンダー[[#This Row],[暦年]]-1,W_カレンダー[[#This Row],[暦年]])</f>
        <v>2023</v>
      </c>
      <c r="E237" s="1" t="str">
        <f>IF(W_カレンダー[[#This Row],[月]]&lt;=3,"Q4",IF(W_カレンダー[[#This Row],[月]]&lt;=6,"Q1",IF(W_カレンダー[[#This Row],[月]]&lt;=9,"Q2","Q3")))</f>
        <v>Q3</v>
      </c>
    </row>
    <row r="238" spans="1:5" ht="18" customHeight="1" x14ac:dyDescent="0.25">
      <c r="A238" s="27">
        <v>45253</v>
      </c>
      <c r="B238" s="29">
        <f>MONTH(W_カレンダー[[#This Row],[日付]])</f>
        <v>11</v>
      </c>
      <c r="C238" s="1">
        <f>YEAR(W_カレンダー[[#This Row],[日付]])</f>
        <v>2023</v>
      </c>
      <c r="D238" s="1">
        <f>IF(W_カレンダー[[#This Row],[月]]&lt;=3,W_カレンダー[[#This Row],[暦年]]-1,W_カレンダー[[#This Row],[暦年]])</f>
        <v>2023</v>
      </c>
      <c r="E238" s="1" t="str">
        <f>IF(W_カレンダー[[#This Row],[月]]&lt;=3,"Q4",IF(W_カレンダー[[#This Row],[月]]&lt;=6,"Q1",IF(W_カレンダー[[#This Row],[月]]&lt;=9,"Q2","Q3")))</f>
        <v>Q3</v>
      </c>
    </row>
    <row r="239" spans="1:5" ht="18" customHeight="1" x14ac:dyDescent="0.25">
      <c r="A239" s="27">
        <v>45254</v>
      </c>
      <c r="B239" s="29">
        <f>MONTH(W_カレンダー[[#This Row],[日付]])</f>
        <v>11</v>
      </c>
      <c r="C239" s="1">
        <f>YEAR(W_カレンダー[[#This Row],[日付]])</f>
        <v>2023</v>
      </c>
      <c r="D239" s="1">
        <f>IF(W_カレンダー[[#This Row],[月]]&lt;=3,W_カレンダー[[#This Row],[暦年]]-1,W_カレンダー[[#This Row],[暦年]])</f>
        <v>2023</v>
      </c>
      <c r="E239" s="1" t="str">
        <f>IF(W_カレンダー[[#This Row],[月]]&lt;=3,"Q4",IF(W_カレンダー[[#This Row],[月]]&lt;=6,"Q1",IF(W_カレンダー[[#This Row],[月]]&lt;=9,"Q2","Q3")))</f>
        <v>Q3</v>
      </c>
    </row>
    <row r="240" spans="1:5" ht="18" customHeight="1" x14ac:dyDescent="0.25">
      <c r="A240" s="27">
        <v>45255</v>
      </c>
      <c r="B240" s="29">
        <f>MONTH(W_カレンダー[[#This Row],[日付]])</f>
        <v>11</v>
      </c>
      <c r="C240" s="1">
        <f>YEAR(W_カレンダー[[#This Row],[日付]])</f>
        <v>2023</v>
      </c>
      <c r="D240" s="1">
        <f>IF(W_カレンダー[[#This Row],[月]]&lt;=3,W_カレンダー[[#This Row],[暦年]]-1,W_カレンダー[[#This Row],[暦年]])</f>
        <v>2023</v>
      </c>
      <c r="E240" s="1" t="str">
        <f>IF(W_カレンダー[[#This Row],[月]]&lt;=3,"Q4",IF(W_カレンダー[[#This Row],[月]]&lt;=6,"Q1",IF(W_カレンダー[[#This Row],[月]]&lt;=9,"Q2","Q3")))</f>
        <v>Q3</v>
      </c>
    </row>
    <row r="241" spans="1:5" ht="18" customHeight="1" x14ac:dyDescent="0.25">
      <c r="A241" s="27">
        <v>45256</v>
      </c>
      <c r="B241" s="29">
        <f>MONTH(W_カレンダー[[#This Row],[日付]])</f>
        <v>11</v>
      </c>
      <c r="C241" s="1">
        <f>YEAR(W_カレンダー[[#This Row],[日付]])</f>
        <v>2023</v>
      </c>
      <c r="D241" s="1">
        <f>IF(W_カレンダー[[#This Row],[月]]&lt;=3,W_カレンダー[[#This Row],[暦年]]-1,W_カレンダー[[#This Row],[暦年]])</f>
        <v>2023</v>
      </c>
      <c r="E241" s="1" t="str">
        <f>IF(W_カレンダー[[#This Row],[月]]&lt;=3,"Q4",IF(W_カレンダー[[#This Row],[月]]&lt;=6,"Q1",IF(W_カレンダー[[#This Row],[月]]&lt;=9,"Q2","Q3")))</f>
        <v>Q3</v>
      </c>
    </row>
    <row r="242" spans="1:5" ht="18" customHeight="1" x14ac:dyDescent="0.25">
      <c r="A242" s="27">
        <v>45257</v>
      </c>
      <c r="B242" s="29">
        <f>MONTH(W_カレンダー[[#This Row],[日付]])</f>
        <v>11</v>
      </c>
      <c r="C242" s="1">
        <f>YEAR(W_カレンダー[[#This Row],[日付]])</f>
        <v>2023</v>
      </c>
      <c r="D242" s="1">
        <f>IF(W_カレンダー[[#This Row],[月]]&lt;=3,W_カレンダー[[#This Row],[暦年]]-1,W_カレンダー[[#This Row],[暦年]])</f>
        <v>2023</v>
      </c>
      <c r="E242" s="1" t="str">
        <f>IF(W_カレンダー[[#This Row],[月]]&lt;=3,"Q4",IF(W_カレンダー[[#This Row],[月]]&lt;=6,"Q1",IF(W_カレンダー[[#This Row],[月]]&lt;=9,"Q2","Q3")))</f>
        <v>Q3</v>
      </c>
    </row>
    <row r="243" spans="1:5" ht="18" customHeight="1" x14ac:dyDescent="0.25">
      <c r="A243" s="27">
        <v>45258</v>
      </c>
      <c r="B243" s="29">
        <f>MONTH(W_カレンダー[[#This Row],[日付]])</f>
        <v>11</v>
      </c>
      <c r="C243" s="1">
        <f>YEAR(W_カレンダー[[#This Row],[日付]])</f>
        <v>2023</v>
      </c>
      <c r="D243" s="1">
        <f>IF(W_カレンダー[[#This Row],[月]]&lt;=3,W_カレンダー[[#This Row],[暦年]]-1,W_カレンダー[[#This Row],[暦年]])</f>
        <v>2023</v>
      </c>
      <c r="E243" s="1" t="str">
        <f>IF(W_カレンダー[[#This Row],[月]]&lt;=3,"Q4",IF(W_カレンダー[[#This Row],[月]]&lt;=6,"Q1",IF(W_カレンダー[[#This Row],[月]]&lt;=9,"Q2","Q3")))</f>
        <v>Q3</v>
      </c>
    </row>
    <row r="244" spans="1:5" ht="18" customHeight="1" x14ac:dyDescent="0.25">
      <c r="A244" s="27">
        <v>45259</v>
      </c>
      <c r="B244" s="29">
        <f>MONTH(W_カレンダー[[#This Row],[日付]])</f>
        <v>11</v>
      </c>
      <c r="C244" s="1">
        <f>YEAR(W_カレンダー[[#This Row],[日付]])</f>
        <v>2023</v>
      </c>
      <c r="D244" s="1">
        <f>IF(W_カレンダー[[#This Row],[月]]&lt;=3,W_カレンダー[[#This Row],[暦年]]-1,W_カレンダー[[#This Row],[暦年]])</f>
        <v>2023</v>
      </c>
      <c r="E244" s="1" t="str">
        <f>IF(W_カレンダー[[#This Row],[月]]&lt;=3,"Q4",IF(W_カレンダー[[#This Row],[月]]&lt;=6,"Q1",IF(W_カレンダー[[#This Row],[月]]&lt;=9,"Q2","Q3")))</f>
        <v>Q3</v>
      </c>
    </row>
    <row r="245" spans="1:5" ht="18" customHeight="1" x14ac:dyDescent="0.25">
      <c r="A245" s="27">
        <v>45260</v>
      </c>
      <c r="B245" s="29">
        <f>MONTH(W_カレンダー[[#This Row],[日付]])</f>
        <v>11</v>
      </c>
      <c r="C245" s="1">
        <f>YEAR(W_カレンダー[[#This Row],[日付]])</f>
        <v>2023</v>
      </c>
      <c r="D245" s="1">
        <f>IF(W_カレンダー[[#This Row],[月]]&lt;=3,W_カレンダー[[#This Row],[暦年]]-1,W_カレンダー[[#This Row],[暦年]])</f>
        <v>2023</v>
      </c>
      <c r="E245" s="1" t="str">
        <f>IF(W_カレンダー[[#This Row],[月]]&lt;=3,"Q4",IF(W_カレンダー[[#This Row],[月]]&lt;=6,"Q1",IF(W_カレンダー[[#This Row],[月]]&lt;=9,"Q2","Q3")))</f>
        <v>Q3</v>
      </c>
    </row>
    <row r="246" spans="1:5" ht="18" customHeight="1" x14ac:dyDescent="0.25">
      <c r="A246" s="27">
        <v>45261</v>
      </c>
      <c r="B246" s="29">
        <f>MONTH(W_カレンダー[[#This Row],[日付]])</f>
        <v>12</v>
      </c>
      <c r="C246" s="1">
        <f>YEAR(W_カレンダー[[#This Row],[日付]])</f>
        <v>2023</v>
      </c>
      <c r="D246" s="1">
        <f>IF(W_カレンダー[[#This Row],[月]]&lt;=3,W_カレンダー[[#This Row],[暦年]]-1,W_カレンダー[[#This Row],[暦年]])</f>
        <v>2023</v>
      </c>
      <c r="E246" s="1" t="str">
        <f>IF(W_カレンダー[[#This Row],[月]]&lt;=3,"Q4",IF(W_カレンダー[[#This Row],[月]]&lt;=6,"Q1",IF(W_カレンダー[[#This Row],[月]]&lt;=9,"Q2","Q3")))</f>
        <v>Q3</v>
      </c>
    </row>
    <row r="247" spans="1:5" ht="18" customHeight="1" x14ac:dyDescent="0.25">
      <c r="A247" s="27">
        <v>45262</v>
      </c>
      <c r="B247" s="29">
        <f>MONTH(W_カレンダー[[#This Row],[日付]])</f>
        <v>12</v>
      </c>
      <c r="C247" s="1">
        <f>YEAR(W_カレンダー[[#This Row],[日付]])</f>
        <v>2023</v>
      </c>
      <c r="D247" s="1">
        <f>IF(W_カレンダー[[#This Row],[月]]&lt;=3,W_カレンダー[[#This Row],[暦年]]-1,W_カレンダー[[#This Row],[暦年]])</f>
        <v>2023</v>
      </c>
      <c r="E247" s="1" t="str">
        <f>IF(W_カレンダー[[#This Row],[月]]&lt;=3,"Q4",IF(W_カレンダー[[#This Row],[月]]&lt;=6,"Q1",IF(W_カレンダー[[#This Row],[月]]&lt;=9,"Q2","Q3")))</f>
        <v>Q3</v>
      </c>
    </row>
    <row r="248" spans="1:5" ht="18" customHeight="1" x14ac:dyDescent="0.25">
      <c r="A248" s="27">
        <v>45263</v>
      </c>
      <c r="B248" s="29">
        <f>MONTH(W_カレンダー[[#This Row],[日付]])</f>
        <v>12</v>
      </c>
      <c r="C248" s="1">
        <f>YEAR(W_カレンダー[[#This Row],[日付]])</f>
        <v>2023</v>
      </c>
      <c r="D248" s="1">
        <f>IF(W_カレンダー[[#This Row],[月]]&lt;=3,W_カレンダー[[#This Row],[暦年]]-1,W_カレンダー[[#This Row],[暦年]])</f>
        <v>2023</v>
      </c>
      <c r="E248" s="1" t="str">
        <f>IF(W_カレンダー[[#This Row],[月]]&lt;=3,"Q4",IF(W_カレンダー[[#This Row],[月]]&lt;=6,"Q1",IF(W_カレンダー[[#This Row],[月]]&lt;=9,"Q2","Q3")))</f>
        <v>Q3</v>
      </c>
    </row>
    <row r="249" spans="1:5" ht="18" customHeight="1" x14ac:dyDescent="0.25">
      <c r="A249" s="27">
        <v>45264</v>
      </c>
      <c r="B249" s="29">
        <f>MONTH(W_カレンダー[[#This Row],[日付]])</f>
        <v>12</v>
      </c>
      <c r="C249" s="1">
        <f>YEAR(W_カレンダー[[#This Row],[日付]])</f>
        <v>2023</v>
      </c>
      <c r="D249" s="1">
        <f>IF(W_カレンダー[[#This Row],[月]]&lt;=3,W_カレンダー[[#This Row],[暦年]]-1,W_カレンダー[[#This Row],[暦年]])</f>
        <v>2023</v>
      </c>
      <c r="E249" s="1" t="str">
        <f>IF(W_カレンダー[[#This Row],[月]]&lt;=3,"Q4",IF(W_カレンダー[[#This Row],[月]]&lt;=6,"Q1",IF(W_カレンダー[[#This Row],[月]]&lt;=9,"Q2","Q3")))</f>
        <v>Q3</v>
      </c>
    </row>
    <row r="250" spans="1:5" ht="18" customHeight="1" x14ac:dyDescent="0.25">
      <c r="A250" s="27">
        <v>45265</v>
      </c>
      <c r="B250" s="29">
        <f>MONTH(W_カレンダー[[#This Row],[日付]])</f>
        <v>12</v>
      </c>
      <c r="C250" s="1">
        <f>YEAR(W_カレンダー[[#This Row],[日付]])</f>
        <v>2023</v>
      </c>
      <c r="D250" s="1">
        <f>IF(W_カレンダー[[#This Row],[月]]&lt;=3,W_カレンダー[[#This Row],[暦年]]-1,W_カレンダー[[#This Row],[暦年]])</f>
        <v>2023</v>
      </c>
      <c r="E250" s="1" t="str">
        <f>IF(W_カレンダー[[#This Row],[月]]&lt;=3,"Q4",IF(W_カレンダー[[#This Row],[月]]&lt;=6,"Q1",IF(W_カレンダー[[#This Row],[月]]&lt;=9,"Q2","Q3")))</f>
        <v>Q3</v>
      </c>
    </row>
    <row r="251" spans="1:5" ht="18" customHeight="1" x14ac:dyDescent="0.25">
      <c r="A251" s="27">
        <v>45266</v>
      </c>
      <c r="B251" s="29">
        <f>MONTH(W_カレンダー[[#This Row],[日付]])</f>
        <v>12</v>
      </c>
      <c r="C251" s="1">
        <f>YEAR(W_カレンダー[[#This Row],[日付]])</f>
        <v>2023</v>
      </c>
      <c r="D251" s="1">
        <f>IF(W_カレンダー[[#This Row],[月]]&lt;=3,W_カレンダー[[#This Row],[暦年]]-1,W_カレンダー[[#This Row],[暦年]])</f>
        <v>2023</v>
      </c>
      <c r="E251" s="1" t="str">
        <f>IF(W_カレンダー[[#This Row],[月]]&lt;=3,"Q4",IF(W_カレンダー[[#This Row],[月]]&lt;=6,"Q1",IF(W_カレンダー[[#This Row],[月]]&lt;=9,"Q2","Q3")))</f>
        <v>Q3</v>
      </c>
    </row>
    <row r="252" spans="1:5" ht="18" customHeight="1" x14ac:dyDescent="0.25">
      <c r="A252" s="27">
        <v>45267</v>
      </c>
      <c r="B252" s="29">
        <f>MONTH(W_カレンダー[[#This Row],[日付]])</f>
        <v>12</v>
      </c>
      <c r="C252" s="1">
        <f>YEAR(W_カレンダー[[#This Row],[日付]])</f>
        <v>2023</v>
      </c>
      <c r="D252" s="1">
        <f>IF(W_カレンダー[[#This Row],[月]]&lt;=3,W_カレンダー[[#This Row],[暦年]]-1,W_カレンダー[[#This Row],[暦年]])</f>
        <v>2023</v>
      </c>
      <c r="E252" s="1" t="str">
        <f>IF(W_カレンダー[[#This Row],[月]]&lt;=3,"Q4",IF(W_カレンダー[[#This Row],[月]]&lt;=6,"Q1",IF(W_カレンダー[[#This Row],[月]]&lt;=9,"Q2","Q3")))</f>
        <v>Q3</v>
      </c>
    </row>
    <row r="253" spans="1:5" ht="18" customHeight="1" x14ac:dyDescent="0.25">
      <c r="A253" s="27">
        <v>45268</v>
      </c>
      <c r="B253" s="29">
        <f>MONTH(W_カレンダー[[#This Row],[日付]])</f>
        <v>12</v>
      </c>
      <c r="C253" s="1">
        <f>YEAR(W_カレンダー[[#This Row],[日付]])</f>
        <v>2023</v>
      </c>
      <c r="D253" s="1">
        <f>IF(W_カレンダー[[#This Row],[月]]&lt;=3,W_カレンダー[[#This Row],[暦年]]-1,W_カレンダー[[#This Row],[暦年]])</f>
        <v>2023</v>
      </c>
      <c r="E253" s="1" t="str">
        <f>IF(W_カレンダー[[#This Row],[月]]&lt;=3,"Q4",IF(W_カレンダー[[#This Row],[月]]&lt;=6,"Q1",IF(W_カレンダー[[#This Row],[月]]&lt;=9,"Q2","Q3")))</f>
        <v>Q3</v>
      </c>
    </row>
    <row r="254" spans="1:5" ht="18" customHeight="1" x14ac:dyDescent="0.25">
      <c r="A254" s="27">
        <v>45269</v>
      </c>
      <c r="B254" s="29">
        <f>MONTH(W_カレンダー[[#This Row],[日付]])</f>
        <v>12</v>
      </c>
      <c r="C254" s="1">
        <f>YEAR(W_カレンダー[[#This Row],[日付]])</f>
        <v>2023</v>
      </c>
      <c r="D254" s="1">
        <f>IF(W_カレンダー[[#This Row],[月]]&lt;=3,W_カレンダー[[#This Row],[暦年]]-1,W_カレンダー[[#This Row],[暦年]])</f>
        <v>2023</v>
      </c>
      <c r="E254" s="1" t="str">
        <f>IF(W_カレンダー[[#This Row],[月]]&lt;=3,"Q4",IF(W_カレンダー[[#This Row],[月]]&lt;=6,"Q1",IF(W_カレンダー[[#This Row],[月]]&lt;=9,"Q2","Q3")))</f>
        <v>Q3</v>
      </c>
    </row>
    <row r="255" spans="1:5" ht="18" customHeight="1" x14ac:dyDescent="0.25">
      <c r="A255" s="27">
        <v>45270</v>
      </c>
      <c r="B255" s="29">
        <f>MONTH(W_カレンダー[[#This Row],[日付]])</f>
        <v>12</v>
      </c>
      <c r="C255" s="1">
        <f>YEAR(W_カレンダー[[#This Row],[日付]])</f>
        <v>2023</v>
      </c>
      <c r="D255" s="1">
        <f>IF(W_カレンダー[[#This Row],[月]]&lt;=3,W_カレンダー[[#This Row],[暦年]]-1,W_カレンダー[[#This Row],[暦年]])</f>
        <v>2023</v>
      </c>
      <c r="E255" s="1" t="str">
        <f>IF(W_カレンダー[[#This Row],[月]]&lt;=3,"Q4",IF(W_カレンダー[[#This Row],[月]]&lt;=6,"Q1",IF(W_カレンダー[[#This Row],[月]]&lt;=9,"Q2","Q3")))</f>
        <v>Q3</v>
      </c>
    </row>
    <row r="256" spans="1:5" ht="18" customHeight="1" x14ac:dyDescent="0.25">
      <c r="A256" s="27">
        <v>45271</v>
      </c>
      <c r="B256" s="29">
        <f>MONTH(W_カレンダー[[#This Row],[日付]])</f>
        <v>12</v>
      </c>
      <c r="C256" s="1">
        <f>YEAR(W_カレンダー[[#This Row],[日付]])</f>
        <v>2023</v>
      </c>
      <c r="D256" s="1">
        <f>IF(W_カレンダー[[#This Row],[月]]&lt;=3,W_カレンダー[[#This Row],[暦年]]-1,W_カレンダー[[#This Row],[暦年]])</f>
        <v>2023</v>
      </c>
      <c r="E256" s="1" t="str">
        <f>IF(W_カレンダー[[#This Row],[月]]&lt;=3,"Q4",IF(W_カレンダー[[#This Row],[月]]&lt;=6,"Q1",IF(W_カレンダー[[#This Row],[月]]&lt;=9,"Q2","Q3")))</f>
        <v>Q3</v>
      </c>
    </row>
    <row r="257" spans="1:5" ht="18" customHeight="1" x14ac:dyDescent="0.25">
      <c r="A257" s="27">
        <v>45272</v>
      </c>
      <c r="B257" s="29">
        <f>MONTH(W_カレンダー[[#This Row],[日付]])</f>
        <v>12</v>
      </c>
      <c r="C257" s="1">
        <f>YEAR(W_カレンダー[[#This Row],[日付]])</f>
        <v>2023</v>
      </c>
      <c r="D257" s="1">
        <f>IF(W_カレンダー[[#This Row],[月]]&lt;=3,W_カレンダー[[#This Row],[暦年]]-1,W_カレンダー[[#This Row],[暦年]])</f>
        <v>2023</v>
      </c>
      <c r="E257" s="1" t="str">
        <f>IF(W_カレンダー[[#This Row],[月]]&lt;=3,"Q4",IF(W_カレンダー[[#This Row],[月]]&lt;=6,"Q1",IF(W_カレンダー[[#This Row],[月]]&lt;=9,"Q2","Q3")))</f>
        <v>Q3</v>
      </c>
    </row>
    <row r="258" spans="1:5" ht="18" customHeight="1" x14ac:dyDescent="0.25">
      <c r="A258" s="27">
        <v>45273</v>
      </c>
      <c r="B258" s="29">
        <f>MONTH(W_カレンダー[[#This Row],[日付]])</f>
        <v>12</v>
      </c>
      <c r="C258" s="1">
        <f>YEAR(W_カレンダー[[#This Row],[日付]])</f>
        <v>2023</v>
      </c>
      <c r="D258" s="1">
        <f>IF(W_カレンダー[[#This Row],[月]]&lt;=3,W_カレンダー[[#This Row],[暦年]]-1,W_カレンダー[[#This Row],[暦年]])</f>
        <v>2023</v>
      </c>
      <c r="E258" s="1" t="str">
        <f>IF(W_カレンダー[[#This Row],[月]]&lt;=3,"Q4",IF(W_カレンダー[[#This Row],[月]]&lt;=6,"Q1",IF(W_カレンダー[[#This Row],[月]]&lt;=9,"Q2","Q3")))</f>
        <v>Q3</v>
      </c>
    </row>
    <row r="259" spans="1:5" ht="18" customHeight="1" x14ac:dyDescent="0.25">
      <c r="A259" s="27">
        <v>45274</v>
      </c>
      <c r="B259" s="29">
        <f>MONTH(W_カレンダー[[#This Row],[日付]])</f>
        <v>12</v>
      </c>
      <c r="C259" s="1">
        <f>YEAR(W_カレンダー[[#This Row],[日付]])</f>
        <v>2023</v>
      </c>
      <c r="D259" s="1">
        <f>IF(W_カレンダー[[#This Row],[月]]&lt;=3,W_カレンダー[[#This Row],[暦年]]-1,W_カレンダー[[#This Row],[暦年]])</f>
        <v>2023</v>
      </c>
      <c r="E259" s="1" t="str">
        <f>IF(W_カレンダー[[#This Row],[月]]&lt;=3,"Q4",IF(W_カレンダー[[#This Row],[月]]&lt;=6,"Q1",IF(W_カレンダー[[#This Row],[月]]&lt;=9,"Q2","Q3")))</f>
        <v>Q3</v>
      </c>
    </row>
    <row r="260" spans="1:5" ht="18" customHeight="1" x14ac:dyDescent="0.25">
      <c r="A260" s="27">
        <v>45275</v>
      </c>
      <c r="B260" s="29">
        <f>MONTH(W_カレンダー[[#This Row],[日付]])</f>
        <v>12</v>
      </c>
      <c r="C260" s="1">
        <f>YEAR(W_カレンダー[[#This Row],[日付]])</f>
        <v>2023</v>
      </c>
      <c r="D260" s="1">
        <f>IF(W_カレンダー[[#This Row],[月]]&lt;=3,W_カレンダー[[#This Row],[暦年]]-1,W_カレンダー[[#This Row],[暦年]])</f>
        <v>2023</v>
      </c>
      <c r="E260" s="1" t="str">
        <f>IF(W_カレンダー[[#This Row],[月]]&lt;=3,"Q4",IF(W_カレンダー[[#This Row],[月]]&lt;=6,"Q1",IF(W_カレンダー[[#This Row],[月]]&lt;=9,"Q2","Q3")))</f>
        <v>Q3</v>
      </c>
    </row>
    <row r="261" spans="1:5" ht="18" customHeight="1" x14ac:dyDescent="0.25">
      <c r="A261" s="27">
        <v>45276</v>
      </c>
      <c r="B261" s="29">
        <f>MONTH(W_カレンダー[[#This Row],[日付]])</f>
        <v>12</v>
      </c>
      <c r="C261" s="1">
        <f>YEAR(W_カレンダー[[#This Row],[日付]])</f>
        <v>2023</v>
      </c>
      <c r="D261" s="1">
        <f>IF(W_カレンダー[[#This Row],[月]]&lt;=3,W_カレンダー[[#This Row],[暦年]]-1,W_カレンダー[[#This Row],[暦年]])</f>
        <v>2023</v>
      </c>
      <c r="E261" s="1" t="str">
        <f>IF(W_カレンダー[[#This Row],[月]]&lt;=3,"Q4",IF(W_カレンダー[[#This Row],[月]]&lt;=6,"Q1",IF(W_カレンダー[[#This Row],[月]]&lt;=9,"Q2","Q3")))</f>
        <v>Q3</v>
      </c>
    </row>
    <row r="262" spans="1:5" ht="18" customHeight="1" x14ac:dyDescent="0.25">
      <c r="A262" s="27">
        <v>45277</v>
      </c>
      <c r="B262" s="29">
        <f>MONTH(W_カレンダー[[#This Row],[日付]])</f>
        <v>12</v>
      </c>
      <c r="C262" s="1">
        <f>YEAR(W_カレンダー[[#This Row],[日付]])</f>
        <v>2023</v>
      </c>
      <c r="D262" s="1">
        <f>IF(W_カレンダー[[#This Row],[月]]&lt;=3,W_カレンダー[[#This Row],[暦年]]-1,W_カレンダー[[#This Row],[暦年]])</f>
        <v>2023</v>
      </c>
      <c r="E262" s="1" t="str">
        <f>IF(W_カレンダー[[#This Row],[月]]&lt;=3,"Q4",IF(W_カレンダー[[#This Row],[月]]&lt;=6,"Q1",IF(W_カレンダー[[#This Row],[月]]&lt;=9,"Q2","Q3")))</f>
        <v>Q3</v>
      </c>
    </row>
    <row r="263" spans="1:5" ht="18" customHeight="1" x14ac:dyDescent="0.25">
      <c r="A263" s="27">
        <v>45278</v>
      </c>
      <c r="B263" s="29">
        <f>MONTH(W_カレンダー[[#This Row],[日付]])</f>
        <v>12</v>
      </c>
      <c r="C263" s="1">
        <f>YEAR(W_カレンダー[[#This Row],[日付]])</f>
        <v>2023</v>
      </c>
      <c r="D263" s="1">
        <f>IF(W_カレンダー[[#This Row],[月]]&lt;=3,W_カレンダー[[#This Row],[暦年]]-1,W_カレンダー[[#This Row],[暦年]])</f>
        <v>2023</v>
      </c>
      <c r="E263" s="1" t="str">
        <f>IF(W_カレンダー[[#This Row],[月]]&lt;=3,"Q4",IF(W_カレンダー[[#This Row],[月]]&lt;=6,"Q1",IF(W_カレンダー[[#This Row],[月]]&lt;=9,"Q2","Q3")))</f>
        <v>Q3</v>
      </c>
    </row>
    <row r="264" spans="1:5" ht="18" customHeight="1" x14ac:dyDescent="0.25">
      <c r="A264" s="27">
        <v>45279</v>
      </c>
      <c r="B264" s="29">
        <f>MONTH(W_カレンダー[[#This Row],[日付]])</f>
        <v>12</v>
      </c>
      <c r="C264" s="1">
        <f>YEAR(W_カレンダー[[#This Row],[日付]])</f>
        <v>2023</v>
      </c>
      <c r="D264" s="1">
        <f>IF(W_カレンダー[[#This Row],[月]]&lt;=3,W_カレンダー[[#This Row],[暦年]]-1,W_カレンダー[[#This Row],[暦年]])</f>
        <v>2023</v>
      </c>
      <c r="E264" s="1" t="str">
        <f>IF(W_カレンダー[[#This Row],[月]]&lt;=3,"Q4",IF(W_カレンダー[[#This Row],[月]]&lt;=6,"Q1",IF(W_カレンダー[[#This Row],[月]]&lt;=9,"Q2","Q3")))</f>
        <v>Q3</v>
      </c>
    </row>
    <row r="265" spans="1:5" ht="18" customHeight="1" x14ac:dyDescent="0.25">
      <c r="A265" s="27">
        <v>45280</v>
      </c>
      <c r="B265" s="29">
        <f>MONTH(W_カレンダー[[#This Row],[日付]])</f>
        <v>12</v>
      </c>
      <c r="C265" s="1">
        <f>YEAR(W_カレンダー[[#This Row],[日付]])</f>
        <v>2023</v>
      </c>
      <c r="D265" s="1">
        <f>IF(W_カレンダー[[#This Row],[月]]&lt;=3,W_カレンダー[[#This Row],[暦年]]-1,W_カレンダー[[#This Row],[暦年]])</f>
        <v>2023</v>
      </c>
      <c r="E265" s="1" t="str">
        <f>IF(W_カレンダー[[#This Row],[月]]&lt;=3,"Q4",IF(W_カレンダー[[#This Row],[月]]&lt;=6,"Q1",IF(W_カレンダー[[#This Row],[月]]&lt;=9,"Q2","Q3")))</f>
        <v>Q3</v>
      </c>
    </row>
    <row r="266" spans="1:5" ht="18" customHeight="1" x14ac:dyDescent="0.25">
      <c r="A266" s="27">
        <v>45281</v>
      </c>
      <c r="B266" s="29">
        <f>MONTH(W_カレンダー[[#This Row],[日付]])</f>
        <v>12</v>
      </c>
      <c r="C266" s="1">
        <f>YEAR(W_カレンダー[[#This Row],[日付]])</f>
        <v>2023</v>
      </c>
      <c r="D266" s="1">
        <f>IF(W_カレンダー[[#This Row],[月]]&lt;=3,W_カレンダー[[#This Row],[暦年]]-1,W_カレンダー[[#This Row],[暦年]])</f>
        <v>2023</v>
      </c>
      <c r="E266" s="1" t="str">
        <f>IF(W_カレンダー[[#This Row],[月]]&lt;=3,"Q4",IF(W_カレンダー[[#This Row],[月]]&lt;=6,"Q1",IF(W_カレンダー[[#This Row],[月]]&lt;=9,"Q2","Q3")))</f>
        <v>Q3</v>
      </c>
    </row>
    <row r="267" spans="1:5" ht="18" customHeight="1" x14ac:dyDescent="0.25">
      <c r="A267" s="27">
        <v>45282</v>
      </c>
      <c r="B267" s="29">
        <f>MONTH(W_カレンダー[[#This Row],[日付]])</f>
        <v>12</v>
      </c>
      <c r="C267" s="1">
        <f>YEAR(W_カレンダー[[#This Row],[日付]])</f>
        <v>2023</v>
      </c>
      <c r="D267" s="1">
        <f>IF(W_カレンダー[[#This Row],[月]]&lt;=3,W_カレンダー[[#This Row],[暦年]]-1,W_カレンダー[[#This Row],[暦年]])</f>
        <v>2023</v>
      </c>
      <c r="E267" s="1" t="str">
        <f>IF(W_カレンダー[[#This Row],[月]]&lt;=3,"Q4",IF(W_カレンダー[[#This Row],[月]]&lt;=6,"Q1",IF(W_カレンダー[[#This Row],[月]]&lt;=9,"Q2","Q3")))</f>
        <v>Q3</v>
      </c>
    </row>
    <row r="268" spans="1:5" ht="18" customHeight="1" x14ac:dyDescent="0.25">
      <c r="A268" s="27">
        <v>45283</v>
      </c>
      <c r="B268" s="29">
        <f>MONTH(W_カレンダー[[#This Row],[日付]])</f>
        <v>12</v>
      </c>
      <c r="C268" s="1">
        <f>YEAR(W_カレンダー[[#This Row],[日付]])</f>
        <v>2023</v>
      </c>
      <c r="D268" s="1">
        <f>IF(W_カレンダー[[#This Row],[月]]&lt;=3,W_カレンダー[[#This Row],[暦年]]-1,W_カレンダー[[#This Row],[暦年]])</f>
        <v>2023</v>
      </c>
      <c r="E268" s="1" t="str">
        <f>IF(W_カレンダー[[#This Row],[月]]&lt;=3,"Q4",IF(W_カレンダー[[#This Row],[月]]&lt;=6,"Q1",IF(W_カレンダー[[#This Row],[月]]&lt;=9,"Q2","Q3")))</f>
        <v>Q3</v>
      </c>
    </row>
    <row r="269" spans="1:5" ht="18" customHeight="1" x14ac:dyDescent="0.25">
      <c r="A269" s="27">
        <v>45284</v>
      </c>
      <c r="B269" s="29">
        <f>MONTH(W_カレンダー[[#This Row],[日付]])</f>
        <v>12</v>
      </c>
      <c r="C269" s="1">
        <f>YEAR(W_カレンダー[[#This Row],[日付]])</f>
        <v>2023</v>
      </c>
      <c r="D269" s="1">
        <f>IF(W_カレンダー[[#This Row],[月]]&lt;=3,W_カレンダー[[#This Row],[暦年]]-1,W_カレンダー[[#This Row],[暦年]])</f>
        <v>2023</v>
      </c>
      <c r="E269" s="1" t="str">
        <f>IF(W_カレンダー[[#This Row],[月]]&lt;=3,"Q4",IF(W_カレンダー[[#This Row],[月]]&lt;=6,"Q1",IF(W_カレンダー[[#This Row],[月]]&lt;=9,"Q2","Q3")))</f>
        <v>Q3</v>
      </c>
    </row>
    <row r="270" spans="1:5" ht="18" customHeight="1" x14ac:dyDescent="0.25">
      <c r="A270" s="27">
        <v>45285</v>
      </c>
      <c r="B270" s="29">
        <f>MONTH(W_カレンダー[[#This Row],[日付]])</f>
        <v>12</v>
      </c>
      <c r="C270" s="1">
        <f>YEAR(W_カレンダー[[#This Row],[日付]])</f>
        <v>2023</v>
      </c>
      <c r="D270" s="1">
        <f>IF(W_カレンダー[[#This Row],[月]]&lt;=3,W_カレンダー[[#This Row],[暦年]]-1,W_カレンダー[[#This Row],[暦年]])</f>
        <v>2023</v>
      </c>
      <c r="E270" s="1" t="str">
        <f>IF(W_カレンダー[[#This Row],[月]]&lt;=3,"Q4",IF(W_カレンダー[[#This Row],[月]]&lt;=6,"Q1",IF(W_カレンダー[[#This Row],[月]]&lt;=9,"Q2","Q3")))</f>
        <v>Q3</v>
      </c>
    </row>
    <row r="271" spans="1:5" ht="18" customHeight="1" x14ac:dyDescent="0.25">
      <c r="A271" s="27">
        <v>45286</v>
      </c>
      <c r="B271" s="29">
        <f>MONTH(W_カレンダー[[#This Row],[日付]])</f>
        <v>12</v>
      </c>
      <c r="C271" s="1">
        <f>YEAR(W_カレンダー[[#This Row],[日付]])</f>
        <v>2023</v>
      </c>
      <c r="D271" s="1">
        <f>IF(W_カレンダー[[#This Row],[月]]&lt;=3,W_カレンダー[[#This Row],[暦年]]-1,W_カレンダー[[#This Row],[暦年]])</f>
        <v>2023</v>
      </c>
      <c r="E271" s="1" t="str">
        <f>IF(W_カレンダー[[#This Row],[月]]&lt;=3,"Q4",IF(W_カレンダー[[#This Row],[月]]&lt;=6,"Q1",IF(W_カレンダー[[#This Row],[月]]&lt;=9,"Q2","Q3")))</f>
        <v>Q3</v>
      </c>
    </row>
    <row r="272" spans="1:5" ht="18" customHeight="1" x14ac:dyDescent="0.25">
      <c r="A272" s="27">
        <v>45287</v>
      </c>
      <c r="B272" s="29">
        <f>MONTH(W_カレンダー[[#This Row],[日付]])</f>
        <v>12</v>
      </c>
      <c r="C272" s="1">
        <f>YEAR(W_カレンダー[[#This Row],[日付]])</f>
        <v>2023</v>
      </c>
      <c r="D272" s="1">
        <f>IF(W_カレンダー[[#This Row],[月]]&lt;=3,W_カレンダー[[#This Row],[暦年]]-1,W_カレンダー[[#This Row],[暦年]])</f>
        <v>2023</v>
      </c>
      <c r="E272" s="1" t="str">
        <f>IF(W_カレンダー[[#This Row],[月]]&lt;=3,"Q4",IF(W_カレンダー[[#This Row],[月]]&lt;=6,"Q1",IF(W_カレンダー[[#This Row],[月]]&lt;=9,"Q2","Q3")))</f>
        <v>Q3</v>
      </c>
    </row>
    <row r="273" spans="1:5" ht="18" customHeight="1" x14ac:dyDescent="0.25">
      <c r="A273" s="27">
        <v>45288</v>
      </c>
      <c r="B273" s="29">
        <f>MONTH(W_カレンダー[[#This Row],[日付]])</f>
        <v>12</v>
      </c>
      <c r="C273" s="1">
        <f>YEAR(W_カレンダー[[#This Row],[日付]])</f>
        <v>2023</v>
      </c>
      <c r="D273" s="1">
        <f>IF(W_カレンダー[[#This Row],[月]]&lt;=3,W_カレンダー[[#This Row],[暦年]]-1,W_カレンダー[[#This Row],[暦年]])</f>
        <v>2023</v>
      </c>
      <c r="E273" s="1" t="str">
        <f>IF(W_カレンダー[[#This Row],[月]]&lt;=3,"Q4",IF(W_カレンダー[[#This Row],[月]]&lt;=6,"Q1",IF(W_カレンダー[[#This Row],[月]]&lt;=9,"Q2","Q3")))</f>
        <v>Q3</v>
      </c>
    </row>
    <row r="274" spans="1:5" ht="18" customHeight="1" x14ac:dyDescent="0.25">
      <c r="A274" s="27">
        <v>45289</v>
      </c>
      <c r="B274" s="29">
        <f>MONTH(W_カレンダー[[#This Row],[日付]])</f>
        <v>12</v>
      </c>
      <c r="C274" s="1">
        <f>YEAR(W_カレンダー[[#This Row],[日付]])</f>
        <v>2023</v>
      </c>
      <c r="D274" s="1">
        <f>IF(W_カレンダー[[#This Row],[月]]&lt;=3,W_カレンダー[[#This Row],[暦年]]-1,W_カレンダー[[#This Row],[暦年]])</f>
        <v>2023</v>
      </c>
      <c r="E274" s="1" t="str">
        <f>IF(W_カレンダー[[#This Row],[月]]&lt;=3,"Q4",IF(W_カレンダー[[#This Row],[月]]&lt;=6,"Q1",IF(W_カレンダー[[#This Row],[月]]&lt;=9,"Q2","Q3")))</f>
        <v>Q3</v>
      </c>
    </row>
    <row r="275" spans="1:5" ht="18" customHeight="1" x14ac:dyDescent="0.25">
      <c r="A275" s="27">
        <v>45290</v>
      </c>
      <c r="B275" s="29">
        <f>MONTH(W_カレンダー[[#This Row],[日付]])</f>
        <v>12</v>
      </c>
      <c r="C275" s="1">
        <f>YEAR(W_カレンダー[[#This Row],[日付]])</f>
        <v>2023</v>
      </c>
      <c r="D275" s="1">
        <f>IF(W_カレンダー[[#This Row],[月]]&lt;=3,W_カレンダー[[#This Row],[暦年]]-1,W_カレンダー[[#This Row],[暦年]])</f>
        <v>2023</v>
      </c>
      <c r="E275" s="1" t="str">
        <f>IF(W_カレンダー[[#This Row],[月]]&lt;=3,"Q4",IF(W_カレンダー[[#This Row],[月]]&lt;=6,"Q1",IF(W_カレンダー[[#This Row],[月]]&lt;=9,"Q2","Q3")))</f>
        <v>Q3</v>
      </c>
    </row>
    <row r="276" spans="1:5" ht="18" customHeight="1" x14ac:dyDescent="0.25">
      <c r="A276" s="27">
        <v>45291</v>
      </c>
      <c r="B276" s="29">
        <f>MONTH(W_カレンダー[[#This Row],[日付]])</f>
        <v>12</v>
      </c>
      <c r="C276" s="1">
        <f>YEAR(W_カレンダー[[#This Row],[日付]])</f>
        <v>2023</v>
      </c>
      <c r="D276" s="1">
        <f>IF(W_カレンダー[[#This Row],[月]]&lt;=3,W_カレンダー[[#This Row],[暦年]]-1,W_カレンダー[[#This Row],[暦年]])</f>
        <v>2023</v>
      </c>
      <c r="E276" s="1" t="str">
        <f>IF(W_カレンダー[[#This Row],[月]]&lt;=3,"Q4",IF(W_カレンダー[[#This Row],[月]]&lt;=6,"Q1",IF(W_カレンダー[[#This Row],[月]]&lt;=9,"Q2","Q3")))</f>
        <v>Q3</v>
      </c>
    </row>
    <row r="277" spans="1:5" ht="18" customHeight="1" x14ac:dyDescent="0.25">
      <c r="A277" s="27">
        <v>45292</v>
      </c>
      <c r="B277" s="29">
        <f>MONTH(W_カレンダー[[#This Row],[日付]])</f>
        <v>1</v>
      </c>
      <c r="C277" s="1">
        <f>YEAR(W_カレンダー[[#This Row],[日付]])</f>
        <v>2024</v>
      </c>
      <c r="D277" s="1">
        <f>IF(W_カレンダー[[#This Row],[月]]&lt;=3,W_カレンダー[[#This Row],[暦年]]-1,W_カレンダー[[#This Row],[暦年]])</f>
        <v>2023</v>
      </c>
      <c r="E277" s="1" t="str">
        <f>IF(W_カレンダー[[#This Row],[月]]&lt;=3,"Q4",IF(W_カレンダー[[#This Row],[月]]&lt;=6,"Q1",IF(W_カレンダー[[#This Row],[月]]&lt;=9,"Q2","Q3")))</f>
        <v>Q4</v>
      </c>
    </row>
    <row r="278" spans="1:5" ht="18" customHeight="1" x14ac:dyDescent="0.25">
      <c r="A278" s="27">
        <v>45293</v>
      </c>
      <c r="B278" s="29">
        <f>MONTH(W_カレンダー[[#This Row],[日付]])</f>
        <v>1</v>
      </c>
      <c r="C278" s="1">
        <f>YEAR(W_カレンダー[[#This Row],[日付]])</f>
        <v>2024</v>
      </c>
      <c r="D278" s="1">
        <f>IF(W_カレンダー[[#This Row],[月]]&lt;=3,W_カレンダー[[#This Row],[暦年]]-1,W_カレンダー[[#This Row],[暦年]])</f>
        <v>2023</v>
      </c>
      <c r="E278" s="1" t="str">
        <f>IF(W_カレンダー[[#This Row],[月]]&lt;=3,"Q4",IF(W_カレンダー[[#This Row],[月]]&lt;=6,"Q1",IF(W_カレンダー[[#This Row],[月]]&lt;=9,"Q2","Q3")))</f>
        <v>Q4</v>
      </c>
    </row>
    <row r="279" spans="1:5" ht="18" customHeight="1" x14ac:dyDescent="0.25">
      <c r="A279" s="27">
        <v>45294</v>
      </c>
      <c r="B279" s="29">
        <f>MONTH(W_カレンダー[[#This Row],[日付]])</f>
        <v>1</v>
      </c>
      <c r="C279" s="1">
        <f>YEAR(W_カレンダー[[#This Row],[日付]])</f>
        <v>2024</v>
      </c>
      <c r="D279" s="1">
        <f>IF(W_カレンダー[[#This Row],[月]]&lt;=3,W_カレンダー[[#This Row],[暦年]]-1,W_カレンダー[[#This Row],[暦年]])</f>
        <v>2023</v>
      </c>
      <c r="E279" s="1" t="str">
        <f>IF(W_カレンダー[[#This Row],[月]]&lt;=3,"Q4",IF(W_カレンダー[[#This Row],[月]]&lt;=6,"Q1",IF(W_カレンダー[[#This Row],[月]]&lt;=9,"Q2","Q3")))</f>
        <v>Q4</v>
      </c>
    </row>
    <row r="280" spans="1:5" ht="18" customHeight="1" x14ac:dyDescent="0.25">
      <c r="A280" s="27">
        <v>45295</v>
      </c>
      <c r="B280" s="29">
        <f>MONTH(W_カレンダー[[#This Row],[日付]])</f>
        <v>1</v>
      </c>
      <c r="C280" s="1">
        <f>YEAR(W_カレンダー[[#This Row],[日付]])</f>
        <v>2024</v>
      </c>
      <c r="D280" s="1">
        <f>IF(W_カレンダー[[#This Row],[月]]&lt;=3,W_カレンダー[[#This Row],[暦年]]-1,W_カレンダー[[#This Row],[暦年]])</f>
        <v>2023</v>
      </c>
      <c r="E280" s="1" t="str">
        <f>IF(W_カレンダー[[#This Row],[月]]&lt;=3,"Q4",IF(W_カレンダー[[#This Row],[月]]&lt;=6,"Q1",IF(W_カレンダー[[#This Row],[月]]&lt;=9,"Q2","Q3")))</f>
        <v>Q4</v>
      </c>
    </row>
    <row r="281" spans="1:5" ht="18" customHeight="1" x14ac:dyDescent="0.25">
      <c r="A281" s="27">
        <v>45296</v>
      </c>
      <c r="B281" s="29">
        <f>MONTH(W_カレンダー[[#This Row],[日付]])</f>
        <v>1</v>
      </c>
      <c r="C281" s="1">
        <f>YEAR(W_カレンダー[[#This Row],[日付]])</f>
        <v>2024</v>
      </c>
      <c r="D281" s="1">
        <f>IF(W_カレンダー[[#This Row],[月]]&lt;=3,W_カレンダー[[#This Row],[暦年]]-1,W_カレンダー[[#This Row],[暦年]])</f>
        <v>2023</v>
      </c>
      <c r="E281" s="1" t="str">
        <f>IF(W_カレンダー[[#This Row],[月]]&lt;=3,"Q4",IF(W_カレンダー[[#This Row],[月]]&lt;=6,"Q1",IF(W_カレンダー[[#This Row],[月]]&lt;=9,"Q2","Q3")))</f>
        <v>Q4</v>
      </c>
    </row>
    <row r="282" spans="1:5" ht="18" customHeight="1" x14ac:dyDescent="0.25">
      <c r="A282" s="27">
        <v>45297</v>
      </c>
      <c r="B282" s="29">
        <f>MONTH(W_カレンダー[[#This Row],[日付]])</f>
        <v>1</v>
      </c>
      <c r="C282" s="1">
        <f>YEAR(W_カレンダー[[#This Row],[日付]])</f>
        <v>2024</v>
      </c>
      <c r="D282" s="1">
        <f>IF(W_カレンダー[[#This Row],[月]]&lt;=3,W_カレンダー[[#This Row],[暦年]]-1,W_カレンダー[[#This Row],[暦年]])</f>
        <v>2023</v>
      </c>
      <c r="E282" s="1" t="str">
        <f>IF(W_カレンダー[[#This Row],[月]]&lt;=3,"Q4",IF(W_カレンダー[[#This Row],[月]]&lt;=6,"Q1",IF(W_カレンダー[[#This Row],[月]]&lt;=9,"Q2","Q3")))</f>
        <v>Q4</v>
      </c>
    </row>
    <row r="283" spans="1:5" ht="18" customHeight="1" x14ac:dyDescent="0.25">
      <c r="A283" s="27">
        <v>45298</v>
      </c>
      <c r="B283" s="29">
        <f>MONTH(W_カレンダー[[#This Row],[日付]])</f>
        <v>1</v>
      </c>
      <c r="C283" s="1">
        <f>YEAR(W_カレンダー[[#This Row],[日付]])</f>
        <v>2024</v>
      </c>
      <c r="D283" s="1">
        <f>IF(W_カレンダー[[#This Row],[月]]&lt;=3,W_カレンダー[[#This Row],[暦年]]-1,W_カレンダー[[#This Row],[暦年]])</f>
        <v>2023</v>
      </c>
      <c r="E283" s="1" t="str">
        <f>IF(W_カレンダー[[#This Row],[月]]&lt;=3,"Q4",IF(W_カレンダー[[#This Row],[月]]&lt;=6,"Q1",IF(W_カレンダー[[#This Row],[月]]&lt;=9,"Q2","Q3")))</f>
        <v>Q4</v>
      </c>
    </row>
    <row r="284" spans="1:5" ht="18" customHeight="1" x14ac:dyDescent="0.25">
      <c r="A284" s="27">
        <v>45299</v>
      </c>
      <c r="B284" s="29">
        <f>MONTH(W_カレンダー[[#This Row],[日付]])</f>
        <v>1</v>
      </c>
      <c r="C284" s="1">
        <f>YEAR(W_カレンダー[[#This Row],[日付]])</f>
        <v>2024</v>
      </c>
      <c r="D284" s="1">
        <f>IF(W_カレンダー[[#This Row],[月]]&lt;=3,W_カレンダー[[#This Row],[暦年]]-1,W_カレンダー[[#This Row],[暦年]])</f>
        <v>2023</v>
      </c>
      <c r="E284" s="1" t="str">
        <f>IF(W_カレンダー[[#This Row],[月]]&lt;=3,"Q4",IF(W_カレンダー[[#This Row],[月]]&lt;=6,"Q1",IF(W_カレンダー[[#This Row],[月]]&lt;=9,"Q2","Q3")))</f>
        <v>Q4</v>
      </c>
    </row>
    <row r="285" spans="1:5" ht="18" customHeight="1" x14ac:dyDescent="0.25">
      <c r="A285" s="27">
        <v>45300</v>
      </c>
      <c r="B285" s="29">
        <f>MONTH(W_カレンダー[[#This Row],[日付]])</f>
        <v>1</v>
      </c>
      <c r="C285" s="1">
        <f>YEAR(W_カレンダー[[#This Row],[日付]])</f>
        <v>2024</v>
      </c>
      <c r="D285" s="1">
        <f>IF(W_カレンダー[[#This Row],[月]]&lt;=3,W_カレンダー[[#This Row],[暦年]]-1,W_カレンダー[[#This Row],[暦年]])</f>
        <v>2023</v>
      </c>
      <c r="E285" s="1" t="str">
        <f>IF(W_カレンダー[[#This Row],[月]]&lt;=3,"Q4",IF(W_カレンダー[[#This Row],[月]]&lt;=6,"Q1",IF(W_カレンダー[[#This Row],[月]]&lt;=9,"Q2","Q3")))</f>
        <v>Q4</v>
      </c>
    </row>
    <row r="286" spans="1:5" ht="18" customHeight="1" x14ac:dyDescent="0.25">
      <c r="A286" s="27">
        <v>45301</v>
      </c>
      <c r="B286" s="29">
        <f>MONTH(W_カレンダー[[#This Row],[日付]])</f>
        <v>1</v>
      </c>
      <c r="C286" s="1">
        <f>YEAR(W_カレンダー[[#This Row],[日付]])</f>
        <v>2024</v>
      </c>
      <c r="D286" s="1">
        <f>IF(W_カレンダー[[#This Row],[月]]&lt;=3,W_カレンダー[[#This Row],[暦年]]-1,W_カレンダー[[#This Row],[暦年]])</f>
        <v>2023</v>
      </c>
      <c r="E286" s="1" t="str">
        <f>IF(W_カレンダー[[#This Row],[月]]&lt;=3,"Q4",IF(W_カレンダー[[#This Row],[月]]&lt;=6,"Q1",IF(W_カレンダー[[#This Row],[月]]&lt;=9,"Q2","Q3")))</f>
        <v>Q4</v>
      </c>
    </row>
    <row r="287" spans="1:5" ht="18" customHeight="1" x14ac:dyDescent="0.25">
      <c r="A287" s="27">
        <v>45302</v>
      </c>
      <c r="B287" s="29">
        <f>MONTH(W_カレンダー[[#This Row],[日付]])</f>
        <v>1</v>
      </c>
      <c r="C287" s="1">
        <f>YEAR(W_カレンダー[[#This Row],[日付]])</f>
        <v>2024</v>
      </c>
      <c r="D287" s="1">
        <f>IF(W_カレンダー[[#This Row],[月]]&lt;=3,W_カレンダー[[#This Row],[暦年]]-1,W_カレンダー[[#This Row],[暦年]])</f>
        <v>2023</v>
      </c>
      <c r="E287" s="1" t="str">
        <f>IF(W_カレンダー[[#This Row],[月]]&lt;=3,"Q4",IF(W_カレンダー[[#This Row],[月]]&lt;=6,"Q1",IF(W_カレンダー[[#This Row],[月]]&lt;=9,"Q2","Q3")))</f>
        <v>Q4</v>
      </c>
    </row>
    <row r="288" spans="1:5" ht="18" customHeight="1" x14ac:dyDescent="0.25">
      <c r="A288" s="27">
        <v>45303</v>
      </c>
      <c r="B288" s="29">
        <f>MONTH(W_カレンダー[[#This Row],[日付]])</f>
        <v>1</v>
      </c>
      <c r="C288" s="1">
        <f>YEAR(W_カレンダー[[#This Row],[日付]])</f>
        <v>2024</v>
      </c>
      <c r="D288" s="1">
        <f>IF(W_カレンダー[[#This Row],[月]]&lt;=3,W_カレンダー[[#This Row],[暦年]]-1,W_カレンダー[[#This Row],[暦年]])</f>
        <v>2023</v>
      </c>
      <c r="E288" s="1" t="str">
        <f>IF(W_カレンダー[[#This Row],[月]]&lt;=3,"Q4",IF(W_カレンダー[[#This Row],[月]]&lt;=6,"Q1",IF(W_カレンダー[[#This Row],[月]]&lt;=9,"Q2","Q3")))</f>
        <v>Q4</v>
      </c>
    </row>
    <row r="289" spans="1:5" ht="18" customHeight="1" x14ac:dyDescent="0.25">
      <c r="A289" s="27">
        <v>45304</v>
      </c>
      <c r="B289" s="29">
        <f>MONTH(W_カレンダー[[#This Row],[日付]])</f>
        <v>1</v>
      </c>
      <c r="C289" s="1">
        <f>YEAR(W_カレンダー[[#This Row],[日付]])</f>
        <v>2024</v>
      </c>
      <c r="D289" s="1">
        <f>IF(W_カレンダー[[#This Row],[月]]&lt;=3,W_カレンダー[[#This Row],[暦年]]-1,W_カレンダー[[#This Row],[暦年]])</f>
        <v>2023</v>
      </c>
      <c r="E289" s="1" t="str">
        <f>IF(W_カレンダー[[#This Row],[月]]&lt;=3,"Q4",IF(W_カレンダー[[#This Row],[月]]&lt;=6,"Q1",IF(W_カレンダー[[#This Row],[月]]&lt;=9,"Q2","Q3")))</f>
        <v>Q4</v>
      </c>
    </row>
    <row r="290" spans="1:5" ht="18" customHeight="1" x14ac:dyDescent="0.25">
      <c r="A290" s="27">
        <v>45305</v>
      </c>
      <c r="B290" s="29">
        <f>MONTH(W_カレンダー[[#This Row],[日付]])</f>
        <v>1</v>
      </c>
      <c r="C290" s="1">
        <f>YEAR(W_カレンダー[[#This Row],[日付]])</f>
        <v>2024</v>
      </c>
      <c r="D290" s="1">
        <f>IF(W_カレンダー[[#This Row],[月]]&lt;=3,W_カレンダー[[#This Row],[暦年]]-1,W_カレンダー[[#This Row],[暦年]])</f>
        <v>2023</v>
      </c>
      <c r="E290" s="1" t="str">
        <f>IF(W_カレンダー[[#This Row],[月]]&lt;=3,"Q4",IF(W_カレンダー[[#This Row],[月]]&lt;=6,"Q1",IF(W_カレンダー[[#This Row],[月]]&lt;=9,"Q2","Q3")))</f>
        <v>Q4</v>
      </c>
    </row>
    <row r="291" spans="1:5" ht="18" customHeight="1" x14ac:dyDescent="0.25">
      <c r="A291" s="27">
        <v>45306</v>
      </c>
      <c r="B291" s="29">
        <f>MONTH(W_カレンダー[[#This Row],[日付]])</f>
        <v>1</v>
      </c>
      <c r="C291" s="1">
        <f>YEAR(W_カレンダー[[#This Row],[日付]])</f>
        <v>2024</v>
      </c>
      <c r="D291" s="1">
        <f>IF(W_カレンダー[[#This Row],[月]]&lt;=3,W_カレンダー[[#This Row],[暦年]]-1,W_カレンダー[[#This Row],[暦年]])</f>
        <v>2023</v>
      </c>
      <c r="E291" s="1" t="str">
        <f>IF(W_カレンダー[[#This Row],[月]]&lt;=3,"Q4",IF(W_カレンダー[[#This Row],[月]]&lt;=6,"Q1",IF(W_カレンダー[[#This Row],[月]]&lt;=9,"Q2","Q3")))</f>
        <v>Q4</v>
      </c>
    </row>
    <row r="292" spans="1:5" ht="18" customHeight="1" x14ac:dyDescent="0.25">
      <c r="A292" s="27">
        <v>45307</v>
      </c>
      <c r="B292" s="29">
        <f>MONTH(W_カレンダー[[#This Row],[日付]])</f>
        <v>1</v>
      </c>
      <c r="C292" s="1">
        <f>YEAR(W_カレンダー[[#This Row],[日付]])</f>
        <v>2024</v>
      </c>
      <c r="D292" s="1">
        <f>IF(W_カレンダー[[#This Row],[月]]&lt;=3,W_カレンダー[[#This Row],[暦年]]-1,W_カレンダー[[#This Row],[暦年]])</f>
        <v>2023</v>
      </c>
      <c r="E292" s="1" t="str">
        <f>IF(W_カレンダー[[#This Row],[月]]&lt;=3,"Q4",IF(W_カレンダー[[#This Row],[月]]&lt;=6,"Q1",IF(W_カレンダー[[#This Row],[月]]&lt;=9,"Q2","Q3")))</f>
        <v>Q4</v>
      </c>
    </row>
    <row r="293" spans="1:5" ht="18" customHeight="1" x14ac:dyDescent="0.25">
      <c r="A293" s="27">
        <v>45308</v>
      </c>
      <c r="B293" s="29">
        <f>MONTH(W_カレンダー[[#This Row],[日付]])</f>
        <v>1</v>
      </c>
      <c r="C293" s="1">
        <f>YEAR(W_カレンダー[[#This Row],[日付]])</f>
        <v>2024</v>
      </c>
      <c r="D293" s="1">
        <f>IF(W_カレンダー[[#This Row],[月]]&lt;=3,W_カレンダー[[#This Row],[暦年]]-1,W_カレンダー[[#This Row],[暦年]])</f>
        <v>2023</v>
      </c>
      <c r="E293" s="1" t="str">
        <f>IF(W_カレンダー[[#This Row],[月]]&lt;=3,"Q4",IF(W_カレンダー[[#This Row],[月]]&lt;=6,"Q1",IF(W_カレンダー[[#This Row],[月]]&lt;=9,"Q2","Q3")))</f>
        <v>Q4</v>
      </c>
    </row>
    <row r="294" spans="1:5" ht="18" customHeight="1" x14ac:dyDescent="0.25">
      <c r="A294" s="27">
        <v>45309</v>
      </c>
      <c r="B294" s="29">
        <f>MONTH(W_カレンダー[[#This Row],[日付]])</f>
        <v>1</v>
      </c>
      <c r="C294" s="1">
        <f>YEAR(W_カレンダー[[#This Row],[日付]])</f>
        <v>2024</v>
      </c>
      <c r="D294" s="1">
        <f>IF(W_カレンダー[[#This Row],[月]]&lt;=3,W_カレンダー[[#This Row],[暦年]]-1,W_カレンダー[[#This Row],[暦年]])</f>
        <v>2023</v>
      </c>
      <c r="E294" s="1" t="str">
        <f>IF(W_カレンダー[[#This Row],[月]]&lt;=3,"Q4",IF(W_カレンダー[[#This Row],[月]]&lt;=6,"Q1",IF(W_カレンダー[[#This Row],[月]]&lt;=9,"Q2","Q3")))</f>
        <v>Q4</v>
      </c>
    </row>
    <row r="295" spans="1:5" ht="18" customHeight="1" x14ac:dyDescent="0.25">
      <c r="A295" s="27">
        <v>45310</v>
      </c>
      <c r="B295" s="29">
        <f>MONTH(W_カレンダー[[#This Row],[日付]])</f>
        <v>1</v>
      </c>
      <c r="C295" s="1">
        <f>YEAR(W_カレンダー[[#This Row],[日付]])</f>
        <v>2024</v>
      </c>
      <c r="D295" s="1">
        <f>IF(W_カレンダー[[#This Row],[月]]&lt;=3,W_カレンダー[[#This Row],[暦年]]-1,W_カレンダー[[#This Row],[暦年]])</f>
        <v>2023</v>
      </c>
      <c r="E295" s="1" t="str">
        <f>IF(W_カレンダー[[#This Row],[月]]&lt;=3,"Q4",IF(W_カレンダー[[#This Row],[月]]&lt;=6,"Q1",IF(W_カレンダー[[#This Row],[月]]&lt;=9,"Q2","Q3")))</f>
        <v>Q4</v>
      </c>
    </row>
    <row r="296" spans="1:5" ht="18" customHeight="1" x14ac:dyDescent="0.25">
      <c r="A296" s="27">
        <v>45311</v>
      </c>
      <c r="B296" s="29">
        <f>MONTH(W_カレンダー[[#This Row],[日付]])</f>
        <v>1</v>
      </c>
      <c r="C296" s="1">
        <f>YEAR(W_カレンダー[[#This Row],[日付]])</f>
        <v>2024</v>
      </c>
      <c r="D296" s="1">
        <f>IF(W_カレンダー[[#This Row],[月]]&lt;=3,W_カレンダー[[#This Row],[暦年]]-1,W_カレンダー[[#This Row],[暦年]])</f>
        <v>2023</v>
      </c>
      <c r="E296" s="1" t="str">
        <f>IF(W_カレンダー[[#This Row],[月]]&lt;=3,"Q4",IF(W_カレンダー[[#This Row],[月]]&lt;=6,"Q1",IF(W_カレンダー[[#This Row],[月]]&lt;=9,"Q2","Q3")))</f>
        <v>Q4</v>
      </c>
    </row>
    <row r="297" spans="1:5" ht="18" customHeight="1" x14ac:dyDescent="0.25">
      <c r="A297" s="27">
        <v>45312</v>
      </c>
      <c r="B297" s="29">
        <f>MONTH(W_カレンダー[[#This Row],[日付]])</f>
        <v>1</v>
      </c>
      <c r="C297" s="1">
        <f>YEAR(W_カレンダー[[#This Row],[日付]])</f>
        <v>2024</v>
      </c>
      <c r="D297" s="1">
        <f>IF(W_カレンダー[[#This Row],[月]]&lt;=3,W_カレンダー[[#This Row],[暦年]]-1,W_カレンダー[[#This Row],[暦年]])</f>
        <v>2023</v>
      </c>
      <c r="E297" s="1" t="str">
        <f>IF(W_カレンダー[[#This Row],[月]]&lt;=3,"Q4",IF(W_カレンダー[[#This Row],[月]]&lt;=6,"Q1",IF(W_カレンダー[[#This Row],[月]]&lt;=9,"Q2","Q3")))</f>
        <v>Q4</v>
      </c>
    </row>
    <row r="298" spans="1:5" ht="18" customHeight="1" x14ac:dyDescent="0.25">
      <c r="A298" s="27">
        <v>45313</v>
      </c>
      <c r="B298" s="29">
        <f>MONTH(W_カレンダー[[#This Row],[日付]])</f>
        <v>1</v>
      </c>
      <c r="C298" s="1">
        <f>YEAR(W_カレンダー[[#This Row],[日付]])</f>
        <v>2024</v>
      </c>
      <c r="D298" s="1">
        <f>IF(W_カレンダー[[#This Row],[月]]&lt;=3,W_カレンダー[[#This Row],[暦年]]-1,W_カレンダー[[#This Row],[暦年]])</f>
        <v>2023</v>
      </c>
      <c r="E298" s="1" t="str">
        <f>IF(W_カレンダー[[#This Row],[月]]&lt;=3,"Q4",IF(W_カレンダー[[#This Row],[月]]&lt;=6,"Q1",IF(W_カレンダー[[#This Row],[月]]&lt;=9,"Q2","Q3")))</f>
        <v>Q4</v>
      </c>
    </row>
    <row r="299" spans="1:5" ht="18" customHeight="1" x14ac:dyDescent="0.25">
      <c r="A299" s="27">
        <v>45314</v>
      </c>
      <c r="B299" s="29">
        <f>MONTH(W_カレンダー[[#This Row],[日付]])</f>
        <v>1</v>
      </c>
      <c r="C299" s="1">
        <f>YEAR(W_カレンダー[[#This Row],[日付]])</f>
        <v>2024</v>
      </c>
      <c r="D299" s="1">
        <f>IF(W_カレンダー[[#This Row],[月]]&lt;=3,W_カレンダー[[#This Row],[暦年]]-1,W_カレンダー[[#This Row],[暦年]])</f>
        <v>2023</v>
      </c>
      <c r="E299" s="1" t="str">
        <f>IF(W_カレンダー[[#This Row],[月]]&lt;=3,"Q4",IF(W_カレンダー[[#This Row],[月]]&lt;=6,"Q1",IF(W_カレンダー[[#This Row],[月]]&lt;=9,"Q2","Q3")))</f>
        <v>Q4</v>
      </c>
    </row>
    <row r="300" spans="1:5" ht="18" customHeight="1" x14ac:dyDescent="0.25">
      <c r="A300" s="27">
        <v>45315</v>
      </c>
      <c r="B300" s="29">
        <f>MONTH(W_カレンダー[[#This Row],[日付]])</f>
        <v>1</v>
      </c>
      <c r="C300" s="1">
        <f>YEAR(W_カレンダー[[#This Row],[日付]])</f>
        <v>2024</v>
      </c>
      <c r="D300" s="1">
        <f>IF(W_カレンダー[[#This Row],[月]]&lt;=3,W_カレンダー[[#This Row],[暦年]]-1,W_カレンダー[[#This Row],[暦年]])</f>
        <v>2023</v>
      </c>
      <c r="E300" s="1" t="str">
        <f>IF(W_カレンダー[[#This Row],[月]]&lt;=3,"Q4",IF(W_カレンダー[[#This Row],[月]]&lt;=6,"Q1",IF(W_カレンダー[[#This Row],[月]]&lt;=9,"Q2","Q3")))</f>
        <v>Q4</v>
      </c>
    </row>
    <row r="301" spans="1:5" ht="18" customHeight="1" x14ac:dyDescent="0.25">
      <c r="A301" s="27">
        <v>45316</v>
      </c>
      <c r="B301" s="29">
        <f>MONTH(W_カレンダー[[#This Row],[日付]])</f>
        <v>1</v>
      </c>
      <c r="C301" s="1">
        <f>YEAR(W_カレンダー[[#This Row],[日付]])</f>
        <v>2024</v>
      </c>
      <c r="D301" s="1">
        <f>IF(W_カレンダー[[#This Row],[月]]&lt;=3,W_カレンダー[[#This Row],[暦年]]-1,W_カレンダー[[#This Row],[暦年]])</f>
        <v>2023</v>
      </c>
      <c r="E301" s="1" t="str">
        <f>IF(W_カレンダー[[#This Row],[月]]&lt;=3,"Q4",IF(W_カレンダー[[#This Row],[月]]&lt;=6,"Q1",IF(W_カレンダー[[#This Row],[月]]&lt;=9,"Q2","Q3")))</f>
        <v>Q4</v>
      </c>
    </row>
    <row r="302" spans="1:5" ht="18" customHeight="1" x14ac:dyDescent="0.25">
      <c r="A302" s="27">
        <v>45317</v>
      </c>
      <c r="B302" s="29">
        <f>MONTH(W_カレンダー[[#This Row],[日付]])</f>
        <v>1</v>
      </c>
      <c r="C302" s="1">
        <f>YEAR(W_カレンダー[[#This Row],[日付]])</f>
        <v>2024</v>
      </c>
      <c r="D302" s="1">
        <f>IF(W_カレンダー[[#This Row],[月]]&lt;=3,W_カレンダー[[#This Row],[暦年]]-1,W_カレンダー[[#This Row],[暦年]])</f>
        <v>2023</v>
      </c>
      <c r="E302" s="1" t="str">
        <f>IF(W_カレンダー[[#This Row],[月]]&lt;=3,"Q4",IF(W_カレンダー[[#This Row],[月]]&lt;=6,"Q1",IF(W_カレンダー[[#This Row],[月]]&lt;=9,"Q2","Q3")))</f>
        <v>Q4</v>
      </c>
    </row>
    <row r="303" spans="1:5" ht="18" customHeight="1" x14ac:dyDescent="0.25">
      <c r="A303" s="27">
        <v>45318</v>
      </c>
      <c r="B303" s="29">
        <f>MONTH(W_カレンダー[[#This Row],[日付]])</f>
        <v>1</v>
      </c>
      <c r="C303" s="1">
        <f>YEAR(W_カレンダー[[#This Row],[日付]])</f>
        <v>2024</v>
      </c>
      <c r="D303" s="1">
        <f>IF(W_カレンダー[[#This Row],[月]]&lt;=3,W_カレンダー[[#This Row],[暦年]]-1,W_カレンダー[[#This Row],[暦年]])</f>
        <v>2023</v>
      </c>
      <c r="E303" s="1" t="str">
        <f>IF(W_カレンダー[[#This Row],[月]]&lt;=3,"Q4",IF(W_カレンダー[[#This Row],[月]]&lt;=6,"Q1",IF(W_カレンダー[[#This Row],[月]]&lt;=9,"Q2","Q3")))</f>
        <v>Q4</v>
      </c>
    </row>
    <row r="304" spans="1:5" ht="18" customHeight="1" x14ac:dyDescent="0.25">
      <c r="A304" s="27">
        <v>45319</v>
      </c>
      <c r="B304" s="29">
        <f>MONTH(W_カレンダー[[#This Row],[日付]])</f>
        <v>1</v>
      </c>
      <c r="C304" s="1">
        <f>YEAR(W_カレンダー[[#This Row],[日付]])</f>
        <v>2024</v>
      </c>
      <c r="D304" s="1">
        <f>IF(W_カレンダー[[#This Row],[月]]&lt;=3,W_カレンダー[[#This Row],[暦年]]-1,W_カレンダー[[#This Row],[暦年]])</f>
        <v>2023</v>
      </c>
      <c r="E304" s="1" t="str">
        <f>IF(W_カレンダー[[#This Row],[月]]&lt;=3,"Q4",IF(W_カレンダー[[#This Row],[月]]&lt;=6,"Q1",IF(W_カレンダー[[#This Row],[月]]&lt;=9,"Q2","Q3")))</f>
        <v>Q4</v>
      </c>
    </row>
    <row r="305" spans="1:5" ht="18" customHeight="1" x14ac:dyDescent="0.25">
      <c r="A305" s="27">
        <v>45320</v>
      </c>
      <c r="B305" s="29">
        <f>MONTH(W_カレンダー[[#This Row],[日付]])</f>
        <v>1</v>
      </c>
      <c r="C305" s="1">
        <f>YEAR(W_カレンダー[[#This Row],[日付]])</f>
        <v>2024</v>
      </c>
      <c r="D305" s="1">
        <f>IF(W_カレンダー[[#This Row],[月]]&lt;=3,W_カレンダー[[#This Row],[暦年]]-1,W_カレンダー[[#This Row],[暦年]])</f>
        <v>2023</v>
      </c>
      <c r="E305" s="1" t="str">
        <f>IF(W_カレンダー[[#This Row],[月]]&lt;=3,"Q4",IF(W_カレンダー[[#This Row],[月]]&lt;=6,"Q1",IF(W_カレンダー[[#This Row],[月]]&lt;=9,"Q2","Q3")))</f>
        <v>Q4</v>
      </c>
    </row>
    <row r="306" spans="1:5" ht="18" customHeight="1" x14ac:dyDescent="0.25">
      <c r="A306" s="27">
        <v>45321</v>
      </c>
      <c r="B306" s="29">
        <f>MONTH(W_カレンダー[[#This Row],[日付]])</f>
        <v>1</v>
      </c>
      <c r="C306" s="1">
        <f>YEAR(W_カレンダー[[#This Row],[日付]])</f>
        <v>2024</v>
      </c>
      <c r="D306" s="1">
        <f>IF(W_カレンダー[[#This Row],[月]]&lt;=3,W_カレンダー[[#This Row],[暦年]]-1,W_カレンダー[[#This Row],[暦年]])</f>
        <v>2023</v>
      </c>
      <c r="E306" s="1" t="str">
        <f>IF(W_カレンダー[[#This Row],[月]]&lt;=3,"Q4",IF(W_カレンダー[[#This Row],[月]]&lt;=6,"Q1",IF(W_カレンダー[[#This Row],[月]]&lt;=9,"Q2","Q3")))</f>
        <v>Q4</v>
      </c>
    </row>
    <row r="307" spans="1:5" ht="18" customHeight="1" x14ac:dyDescent="0.25">
      <c r="A307" s="27">
        <v>45322</v>
      </c>
      <c r="B307" s="29">
        <f>MONTH(W_カレンダー[[#This Row],[日付]])</f>
        <v>1</v>
      </c>
      <c r="C307" s="1">
        <f>YEAR(W_カレンダー[[#This Row],[日付]])</f>
        <v>2024</v>
      </c>
      <c r="D307" s="1">
        <f>IF(W_カレンダー[[#This Row],[月]]&lt;=3,W_カレンダー[[#This Row],[暦年]]-1,W_カレンダー[[#This Row],[暦年]])</f>
        <v>2023</v>
      </c>
      <c r="E307" s="1" t="str">
        <f>IF(W_カレンダー[[#This Row],[月]]&lt;=3,"Q4",IF(W_カレンダー[[#This Row],[月]]&lt;=6,"Q1",IF(W_カレンダー[[#This Row],[月]]&lt;=9,"Q2","Q3")))</f>
        <v>Q4</v>
      </c>
    </row>
    <row r="308" spans="1:5" ht="18" customHeight="1" x14ac:dyDescent="0.25">
      <c r="A308" s="27">
        <v>45323</v>
      </c>
      <c r="B308" s="29">
        <f>MONTH(W_カレンダー[[#This Row],[日付]])</f>
        <v>2</v>
      </c>
      <c r="C308" s="1">
        <f>YEAR(W_カレンダー[[#This Row],[日付]])</f>
        <v>2024</v>
      </c>
      <c r="D308" s="1">
        <f>IF(W_カレンダー[[#This Row],[月]]&lt;=3,W_カレンダー[[#This Row],[暦年]]-1,W_カレンダー[[#This Row],[暦年]])</f>
        <v>2023</v>
      </c>
      <c r="E308" s="1" t="str">
        <f>IF(W_カレンダー[[#This Row],[月]]&lt;=3,"Q4",IF(W_カレンダー[[#This Row],[月]]&lt;=6,"Q1",IF(W_カレンダー[[#This Row],[月]]&lt;=9,"Q2","Q3")))</f>
        <v>Q4</v>
      </c>
    </row>
    <row r="309" spans="1:5" ht="18" customHeight="1" x14ac:dyDescent="0.25">
      <c r="A309" s="27">
        <v>45324</v>
      </c>
      <c r="B309" s="29">
        <f>MONTH(W_カレンダー[[#This Row],[日付]])</f>
        <v>2</v>
      </c>
      <c r="C309" s="1">
        <f>YEAR(W_カレンダー[[#This Row],[日付]])</f>
        <v>2024</v>
      </c>
      <c r="D309" s="1">
        <f>IF(W_カレンダー[[#This Row],[月]]&lt;=3,W_カレンダー[[#This Row],[暦年]]-1,W_カレンダー[[#This Row],[暦年]])</f>
        <v>2023</v>
      </c>
      <c r="E309" s="1" t="str">
        <f>IF(W_カレンダー[[#This Row],[月]]&lt;=3,"Q4",IF(W_カレンダー[[#This Row],[月]]&lt;=6,"Q1",IF(W_カレンダー[[#This Row],[月]]&lt;=9,"Q2","Q3")))</f>
        <v>Q4</v>
      </c>
    </row>
    <row r="310" spans="1:5" ht="18" customHeight="1" x14ac:dyDescent="0.25">
      <c r="A310" s="27">
        <v>45325</v>
      </c>
      <c r="B310" s="29">
        <f>MONTH(W_カレンダー[[#This Row],[日付]])</f>
        <v>2</v>
      </c>
      <c r="C310" s="1">
        <f>YEAR(W_カレンダー[[#This Row],[日付]])</f>
        <v>2024</v>
      </c>
      <c r="D310" s="1">
        <f>IF(W_カレンダー[[#This Row],[月]]&lt;=3,W_カレンダー[[#This Row],[暦年]]-1,W_カレンダー[[#This Row],[暦年]])</f>
        <v>2023</v>
      </c>
      <c r="E310" s="1" t="str">
        <f>IF(W_カレンダー[[#This Row],[月]]&lt;=3,"Q4",IF(W_カレンダー[[#This Row],[月]]&lt;=6,"Q1",IF(W_カレンダー[[#This Row],[月]]&lt;=9,"Q2","Q3")))</f>
        <v>Q4</v>
      </c>
    </row>
    <row r="311" spans="1:5" ht="18" customHeight="1" x14ac:dyDescent="0.25">
      <c r="A311" s="27">
        <v>45326</v>
      </c>
      <c r="B311" s="29">
        <f>MONTH(W_カレンダー[[#This Row],[日付]])</f>
        <v>2</v>
      </c>
      <c r="C311" s="1">
        <f>YEAR(W_カレンダー[[#This Row],[日付]])</f>
        <v>2024</v>
      </c>
      <c r="D311" s="1">
        <f>IF(W_カレンダー[[#This Row],[月]]&lt;=3,W_カレンダー[[#This Row],[暦年]]-1,W_カレンダー[[#This Row],[暦年]])</f>
        <v>2023</v>
      </c>
      <c r="E311" s="1" t="str">
        <f>IF(W_カレンダー[[#This Row],[月]]&lt;=3,"Q4",IF(W_カレンダー[[#This Row],[月]]&lt;=6,"Q1",IF(W_カレンダー[[#This Row],[月]]&lt;=9,"Q2","Q3")))</f>
        <v>Q4</v>
      </c>
    </row>
    <row r="312" spans="1:5" ht="18" customHeight="1" x14ac:dyDescent="0.25">
      <c r="A312" s="27">
        <v>45327</v>
      </c>
      <c r="B312" s="29">
        <f>MONTH(W_カレンダー[[#This Row],[日付]])</f>
        <v>2</v>
      </c>
      <c r="C312" s="1">
        <f>YEAR(W_カレンダー[[#This Row],[日付]])</f>
        <v>2024</v>
      </c>
      <c r="D312" s="1">
        <f>IF(W_カレンダー[[#This Row],[月]]&lt;=3,W_カレンダー[[#This Row],[暦年]]-1,W_カレンダー[[#This Row],[暦年]])</f>
        <v>2023</v>
      </c>
      <c r="E312" s="1" t="str">
        <f>IF(W_カレンダー[[#This Row],[月]]&lt;=3,"Q4",IF(W_カレンダー[[#This Row],[月]]&lt;=6,"Q1",IF(W_カレンダー[[#This Row],[月]]&lt;=9,"Q2","Q3")))</f>
        <v>Q4</v>
      </c>
    </row>
    <row r="313" spans="1:5" ht="18" customHeight="1" x14ac:dyDescent="0.25">
      <c r="A313" s="27">
        <v>45328</v>
      </c>
      <c r="B313" s="29">
        <f>MONTH(W_カレンダー[[#This Row],[日付]])</f>
        <v>2</v>
      </c>
      <c r="C313" s="1">
        <f>YEAR(W_カレンダー[[#This Row],[日付]])</f>
        <v>2024</v>
      </c>
      <c r="D313" s="1">
        <f>IF(W_カレンダー[[#This Row],[月]]&lt;=3,W_カレンダー[[#This Row],[暦年]]-1,W_カレンダー[[#This Row],[暦年]])</f>
        <v>2023</v>
      </c>
      <c r="E313" s="1" t="str">
        <f>IF(W_カレンダー[[#This Row],[月]]&lt;=3,"Q4",IF(W_カレンダー[[#This Row],[月]]&lt;=6,"Q1",IF(W_カレンダー[[#This Row],[月]]&lt;=9,"Q2","Q3")))</f>
        <v>Q4</v>
      </c>
    </row>
    <row r="314" spans="1:5" ht="18" customHeight="1" x14ac:dyDescent="0.25">
      <c r="A314" s="27">
        <v>45329</v>
      </c>
      <c r="B314" s="29">
        <f>MONTH(W_カレンダー[[#This Row],[日付]])</f>
        <v>2</v>
      </c>
      <c r="C314" s="1">
        <f>YEAR(W_カレンダー[[#This Row],[日付]])</f>
        <v>2024</v>
      </c>
      <c r="D314" s="1">
        <f>IF(W_カレンダー[[#This Row],[月]]&lt;=3,W_カレンダー[[#This Row],[暦年]]-1,W_カレンダー[[#This Row],[暦年]])</f>
        <v>2023</v>
      </c>
      <c r="E314" s="1" t="str">
        <f>IF(W_カレンダー[[#This Row],[月]]&lt;=3,"Q4",IF(W_カレンダー[[#This Row],[月]]&lt;=6,"Q1",IF(W_カレンダー[[#This Row],[月]]&lt;=9,"Q2","Q3")))</f>
        <v>Q4</v>
      </c>
    </row>
    <row r="315" spans="1:5" ht="18" customHeight="1" x14ac:dyDescent="0.25">
      <c r="A315" s="27">
        <v>45330</v>
      </c>
      <c r="B315" s="29">
        <f>MONTH(W_カレンダー[[#This Row],[日付]])</f>
        <v>2</v>
      </c>
      <c r="C315" s="1">
        <f>YEAR(W_カレンダー[[#This Row],[日付]])</f>
        <v>2024</v>
      </c>
      <c r="D315" s="1">
        <f>IF(W_カレンダー[[#This Row],[月]]&lt;=3,W_カレンダー[[#This Row],[暦年]]-1,W_カレンダー[[#This Row],[暦年]])</f>
        <v>2023</v>
      </c>
      <c r="E315" s="1" t="str">
        <f>IF(W_カレンダー[[#This Row],[月]]&lt;=3,"Q4",IF(W_カレンダー[[#This Row],[月]]&lt;=6,"Q1",IF(W_カレンダー[[#This Row],[月]]&lt;=9,"Q2","Q3")))</f>
        <v>Q4</v>
      </c>
    </row>
    <row r="316" spans="1:5" ht="18" customHeight="1" x14ac:dyDescent="0.25">
      <c r="A316" s="27">
        <v>45331</v>
      </c>
      <c r="B316" s="29">
        <f>MONTH(W_カレンダー[[#This Row],[日付]])</f>
        <v>2</v>
      </c>
      <c r="C316" s="1">
        <f>YEAR(W_カレンダー[[#This Row],[日付]])</f>
        <v>2024</v>
      </c>
      <c r="D316" s="1">
        <f>IF(W_カレンダー[[#This Row],[月]]&lt;=3,W_カレンダー[[#This Row],[暦年]]-1,W_カレンダー[[#This Row],[暦年]])</f>
        <v>2023</v>
      </c>
      <c r="E316" s="1" t="str">
        <f>IF(W_カレンダー[[#This Row],[月]]&lt;=3,"Q4",IF(W_カレンダー[[#This Row],[月]]&lt;=6,"Q1",IF(W_カレンダー[[#This Row],[月]]&lt;=9,"Q2","Q3")))</f>
        <v>Q4</v>
      </c>
    </row>
    <row r="317" spans="1:5" ht="18" customHeight="1" x14ac:dyDescent="0.25">
      <c r="A317" s="27">
        <v>45332</v>
      </c>
      <c r="B317" s="29">
        <f>MONTH(W_カレンダー[[#This Row],[日付]])</f>
        <v>2</v>
      </c>
      <c r="C317" s="1">
        <f>YEAR(W_カレンダー[[#This Row],[日付]])</f>
        <v>2024</v>
      </c>
      <c r="D317" s="1">
        <f>IF(W_カレンダー[[#This Row],[月]]&lt;=3,W_カレンダー[[#This Row],[暦年]]-1,W_カレンダー[[#This Row],[暦年]])</f>
        <v>2023</v>
      </c>
      <c r="E317" s="1" t="str">
        <f>IF(W_カレンダー[[#This Row],[月]]&lt;=3,"Q4",IF(W_カレンダー[[#This Row],[月]]&lt;=6,"Q1",IF(W_カレンダー[[#This Row],[月]]&lt;=9,"Q2","Q3")))</f>
        <v>Q4</v>
      </c>
    </row>
    <row r="318" spans="1:5" ht="18" customHeight="1" x14ac:dyDescent="0.25">
      <c r="A318" s="27">
        <v>45333</v>
      </c>
      <c r="B318" s="29">
        <f>MONTH(W_カレンダー[[#This Row],[日付]])</f>
        <v>2</v>
      </c>
      <c r="C318" s="1">
        <f>YEAR(W_カレンダー[[#This Row],[日付]])</f>
        <v>2024</v>
      </c>
      <c r="D318" s="1">
        <f>IF(W_カレンダー[[#This Row],[月]]&lt;=3,W_カレンダー[[#This Row],[暦年]]-1,W_カレンダー[[#This Row],[暦年]])</f>
        <v>2023</v>
      </c>
      <c r="E318" s="1" t="str">
        <f>IF(W_カレンダー[[#This Row],[月]]&lt;=3,"Q4",IF(W_カレンダー[[#This Row],[月]]&lt;=6,"Q1",IF(W_カレンダー[[#This Row],[月]]&lt;=9,"Q2","Q3")))</f>
        <v>Q4</v>
      </c>
    </row>
    <row r="319" spans="1:5" ht="18" customHeight="1" x14ac:dyDescent="0.25">
      <c r="A319" s="27">
        <v>45334</v>
      </c>
      <c r="B319" s="29">
        <f>MONTH(W_カレンダー[[#This Row],[日付]])</f>
        <v>2</v>
      </c>
      <c r="C319" s="1">
        <f>YEAR(W_カレンダー[[#This Row],[日付]])</f>
        <v>2024</v>
      </c>
      <c r="D319" s="1">
        <f>IF(W_カレンダー[[#This Row],[月]]&lt;=3,W_カレンダー[[#This Row],[暦年]]-1,W_カレンダー[[#This Row],[暦年]])</f>
        <v>2023</v>
      </c>
      <c r="E319" s="1" t="str">
        <f>IF(W_カレンダー[[#This Row],[月]]&lt;=3,"Q4",IF(W_カレンダー[[#This Row],[月]]&lt;=6,"Q1",IF(W_カレンダー[[#This Row],[月]]&lt;=9,"Q2","Q3")))</f>
        <v>Q4</v>
      </c>
    </row>
    <row r="320" spans="1:5" ht="18" customHeight="1" x14ac:dyDescent="0.25">
      <c r="A320" s="27">
        <v>45335</v>
      </c>
      <c r="B320" s="29">
        <f>MONTH(W_カレンダー[[#This Row],[日付]])</f>
        <v>2</v>
      </c>
      <c r="C320" s="1">
        <f>YEAR(W_カレンダー[[#This Row],[日付]])</f>
        <v>2024</v>
      </c>
      <c r="D320" s="1">
        <f>IF(W_カレンダー[[#This Row],[月]]&lt;=3,W_カレンダー[[#This Row],[暦年]]-1,W_カレンダー[[#This Row],[暦年]])</f>
        <v>2023</v>
      </c>
      <c r="E320" s="1" t="str">
        <f>IF(W_カレンダー[[#This Row],[月]]&lt;=3,"Q4",IF(W_カレンダー[[#This Row],[月]]&lt;=6,"Q1",IF(W_カレンダー[[#This Row],[月]]&lt;=9,"Q2","Q3")))</f>
        <v>Q4</v>
      </c>
    </row>
    <row r="321" spans="1:5" ht="18" customHeight="1" x14ac:dyDescent="0.25">
      <c r="A321" s="27">
        <v>45336</v>
      </c>
      <c r="B321" s="29">
        <f>MONTH(W_カレンダー[[#This Row],[日付]])</f>
        <v>2</v>
      </c>
      <c r="C321" s="1">
        <f>YEAR(W_カレンダー[[#This Row],[日付]])</f>
        <v>2024</v>
      </c>
      <c r="D321" s="1">
        <f>IF(W_カレンダー[[#This Row],[月]]&lt;=3,W_カレンダー[[#This Row],[暦年]]-1,W_カレンダー[[#This Row],[暦年]])</f>
        <v>2023</v>
      </c>
      <c r="E321" s="1" t="str">
        <f>IF(W_カレンダー[[#This Row],[月]]&lt;=3,"Q4",IF(W_カレンダー[[#This Row],[月]]&lt;=6,"Q1",IF(W_カレンダー[[#This Row],[月]]&lt;=9,"Q2","Q3")))</f>
        <v>Q4</v>
      </c>
    </row>
    <row r="322" spans="1:5" ht="18" customHeight="1" x14ac:dyDescent="0.25">
      <c r="A322" s="27">
        <v>45337</v>
      </c>
      <c r="B322" s="29">
        <f>MONTH(W_カレンダー[[#This Row],[日付]])</f>
        <v>2</v>
      </c>
      <c r="C322" s="1">
        <f>YEAR(W_カレンダー[[#This Row],[日付]])</f>
        <v>2024</v>
      </c>
      <c r="D322" s="1">
        <f>IF(W_カレンダー[[#This Row],[月]]&lt;=3,W_カレンダー[[#This Row],[暦年]]-1,W_カレンダー[[#This Row],[暦年]])</f>
        <v>2023</v>
      </c>
      <c r="E322" s="1" t="str">
        <f>IF(W_カレンダー[[#This Row],[月]]&lt;=3,"Q4",IF(W_カレンダー[[#This Row],[月]]&lt;=6,"Q1",IF(W_カレンダー[[#This Row],[月]]&lt;=9,"Q2","Q3")))</f>
        <v>Q4</v>
      </c>
    </row>
    <row r="323" spans="1:5" ht="18" customHeight="1" x14ac:dyDescent="0.25">
      <c r="A323" s="27">
        <v>45338</v>
      </c>
      <c r="B323" s="29">
        <f>MONTH(W_カレンダー[[#This Row],[日付]])</f>
        <v>2</v>
      </c>
      <c r="C323" s="1">
        <f>YEAR(W_カレンダー[[#This Row],[日付]])</f>
        <v>2024</v>
      </c>
      <c r="D323" s="1">
        <f>IF(W_カレンダー[[#This Row],[月]]&lt;=3,W_カレンダー[[#This Row],[暦年]]-1,W_カレンダー[[#This Row],[暦年]])</f>
        <v>2023</v>
      </c>
      <c r="E323" s="1" t="str">
        <f>IF(W_カレンダー[[#This Row],[月]]&lt;=3,"Q4",IF(W_カレンダー[[#This Row],[月]]&lt;=6,"Q1",IF(W_カレンダー[[#This Row],[月]]&lt;=9,"Q2","Q3")))</f>
        <v>Q4</v>
      </c>
    </row>
    <row r="324" spans="1:5" ht="18" customHeight="1" x14ac:dyDescent="0.25">
      <c r="A324" s="27">
        <v>45339</v>
      </c>
      <c r="B324" s="29">
        <f>MONTH(W_カレンダー[[#This Row],[日付]])</f>
        <v>2</v>
      </c>
      <c r="C324" s="1">
        <f>YEAR(W_カレンダー[[#This Row],[日付]])</f>
        <v>2024</v>
      </c>
      <c r="D324" s="1">
        <f>IF(W_カレンダー[[#This Row],[月]]&lt;=3,W_カレンダー[[#This Row],[暦年]]-1,W_カレンダー[[#This Row],[暦年]])</f>
        <v>2023</v>
      </c>
      <c r="E324" s="1" t="str">
        <f>IF(W_カレンダー[[#This Row],[月]]&lt;=3,"Q4",IF(W_カレンダー[[#This Row],[月]]&lt;=6,"Q1",IF(W_カレンダー[[#This Row],[月]]&lt;=9,"Q2","Q3")))</f>
        <v>Q4</v>
      </c>
    </row>
    <row r="325" spans="1:5" ht="18" customHeight="1" x14ac:dyDescent="0.25">
      <c r="A325" s="27">
        <v>45340</v>
      </c>
      <c r="B325" s="29">
        <f>MONTH(W_カレンダー[[#This Row],[日付]])</f>
        <v>2</v>
      </c>
      <c r="C325" s="1">
        <f>YEAR(W_カレンダー[[#This Row],[日付]])</f>
        <v>2024</v>
      </c>
      <c r="D325" s="1">
        <f>IF(W_カレンダー[[#This Row],[月]]&lt;=3,W_カレンダー[[#This Row],[暦年]]-1,W_カレンダー[[#This Row],[暦年]])</f>
        <v>2023</v>
      </c>
      <c r="E325" s="1" t="str">
        <f>IF(W_カレンダー[[#This Row],[月]]&lt;=3,"Q4",IF(W_カレンダー[[#This Row],[月]]&lt;=6,"Q1",IF(W_カレンダー[[#This Row],[月]]&lt;=9,"Q2","Q3")))</f>
        <v>Q4</v>
      </c>
    </row>
    <row r="326" spans="1:5" ht="18" customHeight="1" x14ac:dyDescent="0.25">
      <c r="A326" s="27">
        <v>45341</v>
      </c>
      <c r="B326" s="29">
        <f>MONTH(W_カレンダー[[#This Row],[日付]])</f>
        <v>2</v>
      </c>
      <c r="C326" s="1">
        <f>YEAR(W_カレンダー[[#This Row],[日付]])</f>
        <v>2024</v>
      </c>
      <c r="D326" s="1">
        <f>IF(W_カレンダー[[#This Row],[月]]&lt;=3,W_カレンダー[[#This Row],[暦年]]-1,W_カレンダー[[#This Row],[暦年]])</f>
        <v>2023</v>
      </c>
      <c r="E326" s="1" t="str">
        <f>IF(W_カレンダー[[#This Row],[月]]&lt;=3,"Q4",IF(W_カレンダー[[#This Row],[月]]&lt;=6,"Q1",IF(W_カレンダー[[#This Row],[月]]&lt;=9,"Q2","Q3")))</f>
        <v>Q4</v>
      </c>
    </row>
    <row r="327" spans="1:5" ht="18" customHeight="1" x14ac:dyDescent="0.25">
      <c r="A327" s="27">
        <v>45342</v>
      </c>
      <c r="B327" s="29">
        <f>MONTH(W_カレンダー[[#This Row],[日付]])</f>
        <v>2</v>
      </c>
      <c r="C327" s="1">
        <f>YEAR(W_カレンダー[[#This Row],[日付]])</f>
        <v>2024</v>
      </c>
      <c r="D327" s="1">
        <f>IF(W_カレンダー[[#This Row],[月]]&lt;=3,W_カレンダー[[#This Row],[暦年]]-1,W_カレンダー[[#This Row],[暦年]])</f>
        <v>2023</v>
      </c>
      <c r="E327" s="1" t="str">
        <f>IF(W_カレンダー[[#This Row],[月]]&lt;=3,"Q4",IF(W_カレンダー[[#This Row],[月]]&lt;=6,"Q1",IF(W_カレンダー[[#This Row],[月]]&lt;=9,"Q2","Q3")))</f>
        <v>Q4</v>
      </c>
    </row>
    <row r="328" spans="1:5" ht="18" customHeight="1" x14ac:dyDescent="0.25">
      <c r="A328" s="27">
        <v>45343</v>
      </c>
      <c r="B328" s="29">
        <f>MONTH(W_カレンダー[[#This Row],[日付]])</f>
        <v>2</v>
      </c>
      <c r="C328" s="1">
        <f>YEAR(W_カレンダー[[#This Row],[日付]])</f>
        <v>2024</v>
      </c>
      <c r="D328" s="1">
        <f>IF(W_カレンダー[[#This Row],[月]]&lt;=3,W_カレンダー[[#This Row],[暦年]]-1,W_カレンダー[[#This Row],[暦年]])</f>
        <v>2023</v>
      </c>
      <c r="E328" s="1" t="str">
        <f>IF(W_カレンダー[[#This Row],[月]]&lt;=3,"Q4",IF(W_カレンダー[[#This Row],[月]]&lt;=6,"Q1",IF(W_カレンダー[[#This Row],[月]]&lt;=9,"Q2","Q3")))</f>
        <v>Q4</v>
      </c>
    </row>
    <row r="329" spans="1:5" ht="18" customHeight="1" x14ac:dyDescent="0.25">
      <c r="A329" s="27">
        <v>45344</v>
      </c>
      <c r="B329" s="29">
        <f>MONTH(W_カレンダー[[#This Row],[日付]])</f>
        <v>2</v>
      </c>
      <c r="C329" s="1">
        <f>YEAR(W_カレンダー[[#This Row],[日付]])</f>
        <v>2024</v>
      </c>
      <c r="D329" s="1">
        <f>IF(W_カレンダー[[#This Row],[月]]&lt;=3,W_カレンダー[[#This Row],[暦年]]-1,W_カレンダー[[#This Row],[暦年]])</f>
        <v>2023</v>
      </c>
      <c r="E329" s="1" t="str">
        <f>IF(W_カレンダー[[#This Row],[月]]&lt;=3,"Q4",IF(W_カレンダー[[#This Row],[月]]&lt;=6,"Q1",IF(W_カレンダー[[#This Row],[月]]&lt;=9,"Q2","Q3")))</f>
        <v>Q4</v>
      </c>
    </row>
    <row r="330" spans="1:5" ht="18" customHeight="1" x14ac:dyDescent="0.25">
      <c r="A330" s="27">
        <v>45345</v>
      </c>
      <c r="B330" s="29">
        <f>MONTH(W_カレンダー[[#This Row],[日付]])</f>
        <v>2</v>
      </c>
      <c r="C330" s="1">
        <f>YEAR(W_カレンダー[[#This Row],[日付]])</f>
        <v>2024</v>
      </c>
      <c r="D330" s="1">
        <f>IF(W_カレンダー[[#This Row],[月]]&lt;=3,W_カレンダー[[#This Row],[暦年]]-1,W_カレンダー[[#This Row],[暦年]])</f>
        <v>2023</v>
      </c>
      <c r="E330" s="1" t="str">
        <f>IF(W_カレンダー[[#This Row],[月]]&lt;=3,"Q4",IF(W_カレンダー[[#This Row],[月]]&lt;=6,"Q1",IF(W_カレンダー[[#This Row],[月]]&lt;=9,"Q2","Q3")))</f>
        <v>Q4</v>
      </c>
    </row>
    <row r="331" spans="1:5" ht="18" customHeight="1" x14ac:dyDescent="0.25">
      <c r="A331" s="27">
        <v>45346</v>
      </c>
      <c r="B331" s="29">
        <f>MONTH(W_カレンダー[[#This Row],[日付]])</f>
        <v>2</v>
      </c>
      <c r="C331" s="1">
        <f>YEAR(W_カレンダー[[#This Row],[日付]])</f>
        <v>2024</v>
      </c>
      <c r="D331" s="1">
        <f>IF(W_カレンダー[[#This Row],[月]]&lt;=3,W_カレンダー[[#This Row],[暦年]]-1,W_カレンダー[[#This Row],[暦年]])</f>
        <v>2023</v>
      </c>
      <c r="E331" s="1" t="str">
        <f>IF(W_カレンダー[[#This Row],[月]]&lt;=3,"Q4",IF(W_カレンダー[[#This Row],[月]]&lt;=6,"Q1",IF(W_カレンダー[[#This Row],[月]]&lt;=9,"Q2","Q3")))</f>
        <v>Q4</v>
      </c>
    </row>
    <row r="332" spans="1:5" ht="18" customHeight="1" x14ac:dyDescent="0.25">
      <c r="A332" s="27">
        <v>45347</v>
      </c>
      <c r="B332" s="29">
        <f>MONTH(W_カレンダー[[#This Row],[日付]])</f>
        <v>2</v>
      </c>
      <c r="C332" s="1">
        <f>YEAR(W_カレンダー[[#This Row],[日付]])</f>
        <v>2024</v>
      </c>
      <c r="D332" s="1">
        <f>IF(W_カレンダー[[#This Row],[月]]&lt;=3,W_カレンダー[[#This Row],[暦年]]-1,W_カレンダー[[#This Row],[暦年]])</f>
        <v>2023</v>
      </c>
      <c r="E332" s="1" t="str">
        <f>IF(W_カレンダー[[#This Row],[月]]&lt;=3,"Q4",IF(W_カレンダー[[#This Row],[月]]&lt;=6,"Q1",IF(W_カレンダー[[#This Row],[月]]&lt;=9,"Q2","Q3")))</f>
        <v>Q4</v>
      </c>
    </row>
    <row r="333" spans="1:5" ht="18" customHeight="1" x14ac:dyDescent="0.25">
      <c r="A333" s="27">
        <v>45348</v>
      </c>
      <c r="B333" s="29">
        <f>MONTH(W_カレンダー[[#This Row],[日付]])</f>
        <v>2</v>
      </c>
      <c r="C333" s="1">
        <f>YEAR(W_カレンダー[[#This Row],[日付]])</f>
        <v>2024</v>
      </c>
      <c r="D333" s="1">
        <f>IF(W_カレンダー[[#This Row],[月]]&lt;=3,W_カレンダー[[#This Row],[暦年]]-1,W_カレンダー[[#This Row],[暦年]])</f>
        <v>2023</v>
      </c>
      <c r="E333" s="1" t="str">
        <f>IF(W_カレンダー[[#This Row],[月]]&lt;=3,"Q4",IF(W_カレンダー[[#This Row],[月]]&lt;=6,"Q1",IF(W_カレンダー[[#This Row],[月]]&lt;=9,"Q2","Q3")))</f>
        <v>Q4</v>
      </c>
    </row>
    <row r="334" spans="1:5" ht="18" customHeight="1" x14ac:dyDescent="0.25">
      <c r="A334" s="27">
        <v>45349</v>
      </c>
      <c r="B334" s="29">
        <f>MONTH(W_カレンダー[[#This Row],[日付]])</f>
        <v>2</v>
      </c>
      <c r="C334" s="1">
        <f>YEAR(W_カレンダー[[#This Row],[日付]])</f>
        <v>2024</v>
      </c>
      <c r="D334" s="1">
        <f>IF(W_カレンダー[[#This Row],[月]]&lt;=3,W_カレンダー[[#This Row],[暦年]]-1,W_カレンダー[[#This Row],[暦年]])</f>
        <v>2023</v>
      </c>
      <c r="E334" s="1" t="str">
        <f>IF(W_カレンダー[[#This Row],[月]]&lt;=3,"Q4",IF(W_カレンダー[[#This Row],[月]]&lt;=6,"Q1",IF(W_カレンダー[[#This Row],[月]]&lt;=9,"Q2","Q3")))</f>
        <v>Q4</v>
      </c>
    </row>
    <row r="335" spans="1:5" ht="18" customHeight="1" x14ac:dyDescent="0.25">
      <c r="A335" s="27">
        <v>45350</v>
      </c>
      <c r="B335" s="29">
        <f>MONTH(W_カレンダー[[#This Row],[日付]])</f>
        <v>2</v>
      </c>
      <c r="C335" s="1">
        <f>YEAR(W_カレンダー[[#This Row],[日付]])</f>
        <v>2024</v>
      </c>
      <c r="D335" s="1">
        <f>IF(W_カレンダー[[#This Row],[月]]&lt;=3,W_カレンダー[[#This Row],[暦年]]-1,W_カレンダー[[#This Row],[暦年]])</f>
        <v>2023</v>
      </c>
      <c r="E335" s="1" t="str">
        <f>IF(W_カレンダー[[#This Row],[月]]&lt;=3,"Q4",IF(W_カレンダー[[#This Row],[月]]&lt;=6,"Q1",IF(W_カレンダー[[#This Row],[月]]&lt;=9,"Q2","Q3")))</f>
        <v>Q4</v>
      </c>
    </row>
    <row r="336" spans="1:5" ht="18" customHeight="1" x14ac:dyDescent="0.25">
      <c r="A336" s="27">
        <v>45351</v>
      </c>
      <c r="B336" s="29">
        <f>MONTH(W_カレンダー[[#This Row],[日付]])</f>
        <v>2</v>
      </c>
      <c r="C336" s="1">
        <f>YEAR(W_カレンダー[[#This Row],[日付]])</f>
        <v>2024</v>
      </c>
      <c r="D336" s="1">
        <f>IF(W_カレンダー[[#This Row],[月]]&lt;=3,W_カレンダー[[#This Row],[暦年]]-1,W_カレンダー[[#This Row],[暦年]])</f>
        <v>2023</v>
      </c>
      <c r="E336" s="1" t="str">
        <f>IF(W_カレンダー[[#This Row],[月]]&lt;=3,"Q4",IF(W_カレンダー[[#This Row],[月]]&lt;=6,"Q1",IF(W_カレンダー[[#This Row],[月]]&lt;=9,"Q2","Q3")))</f>
        <v>Q4</v>
      </c>
    </row>
    <row r="337" spans="1:5" ht="18" customHeight="1" x14ac:dyDescent="0.25">
      <c r="A337" s="27">
        <v>45352</v>
      </c>
      <c r="B337" s="29">
        <f>MONTH(W_カレンダー[[#This Row],[日付]])</f>
        <v>3</v>
      </c>
      <c r="C337" s="1">
        <f>YEAR(W_カレンダー[[#This Row],[日付]])</f>
        <v>2024</v>
      </c>
      <c r="D337" s="1">
        <f>IF(W_カレンダー[[#This Row],[月]]&lt;=3,W_カレンダー[[#This Row],[暦年]]-1,W_カレンダー[[#This Row],[暦年]])</f>
        <v>2023</v>
      </c>
      <c r="E337" s="1" t="str">
        <f>IF(W_カレンダー[[#This Row],[月]]&lt;=3,"Q4",IF(W_カレンダー[[#This Row],[月]]&lt;=6,"Q1",IF(W_カレンダー[[#This Row],[月]]&lt;=9,"Q2","Q3")))</f>
        <v>Q4</v>
      </c>
    </row>
    <row r="338" spans="1:5" ht="18" customHeight="1" x14ac:dyDescent="0.25">
      <c r="A338" s="27">
        <v>45353</v>
      </c>
      <c r="B338" s="29">
        <f>MONTH(W_カレンダー[[#This Row],[日付]])</f>
        <v>3</v>
      </c>
      <c r="C338" s="1">
        <f>YEAR(W_カレンダー[[#This Row],[日付]])</f>
        <v>2024</v>
      </c>
      <c r="D338" s="1">
        <f>IF(W_カレンダー[[#This Row],[月]]&lt;=3,W_カレンダー[[#This Row],[暦年]]-1,W_カレンダー[[#This Row],[暦年]])</f>
        <v>2023</v>
      </c>
      <c r="E338" s="1" t="str">
        <f>IF(W_カレンダー[[#This Row],[月]]&lt;=3,"Q4",IF(W_カレンダー[[#This Row],[月]]&lt;=6,"Q1",IF(W_カレンダー[[#This Row],[月]]&lt;=9,"Q2","Q3")))</f>
        <v>Q4</v>
      </c>
    </row>
    <row r="339" spans="1:5" ht="18" customHeight="1" x14ac:dyDescent="0.25">
      <c r="A339" s="27">
        <v>45354</v>
      </c>
      <c r="B339" s="29">
        <f>MONTH(W_カレンダー[[#This Row],[日付]])</f>
        <v>3</v>
      </c>
      <c r="C339" s="1">
        <f>YEAR(W_カレンダー[[#This Row],[日付]])</f>
        <v>2024</v>
      </c>
      <c r="D339" s="1">
        <f>IF(W_カレンダー[[#This Row],[月]]&lt;=3,W_カレンダー[[#This Row],[暦年]]-1,W_カレンダー[[#This Row],[暦年]])</f>
        <v>2023</v>
      </c>
      <c r="E339" s="1" t="str">
        <f>IF(W_カレンダー[[#This Row],[月]]&lt;=3,"Q4",IF(W_カレンダー[[#This Row],[月]]&lt;=6,"Q1",IF(W_カレンダー[[#This Row],[月]]&lt;=9,"Q2","Q3")))</f>
        <v>Q4</v>
      </c>
    </row>
    <row r="340" spans="1:5" ht="18" customHeight="1" x14ac:dyDescent="0.25">
      <c r="A340" s="27">
        <v>45355</v>
      </c>
      <c r="B340" s="29">
        <f>MONTH(W_カレンダー[[#This Row],[日付]])</f>
        <v>3</v>
      </c>
      <c r="C340" s="1">
        <f>YEAR(W_カレンダー[[#This Row],[日付]])</f>
        <v>2024</v>
      </c>
      <c r="D340" s="1">
        <f>IF(W_カレンダー[[#This Row],[月]]&lt;=3,W_カレンダー[[#This Row],[暦年]]-1,W_カレンダー[[#This Row],[暦年]])</f>
        <v>2023</v>
      </c>
      <c r="E340" s="1" t="str">
        <f>IF(W_カレンダー[[#This Row],[月]]&lt;=3,"Q4",IF(W_カレンダー[[#This Row],[月]]&lt;=6,"Q1",IF(W_カレンダー[[#This Row],[月]]&lt;=9,"Q2","Q3")))</f>
        <v>Q4</v>
      </c>
    </row>
    <row r="341" spans="1:5" ht="18" customHeight="1" x14ac:dyDescent="0.25">
      <c r="A341" s="27">
        <v>45356</v>
      </c>
      <c r="B341" s="29">
        <f>MONTH(W_カレンダー[[#This Row],[日付]])</f>
        <v>3</v>
      </c>
      <c r="C341" s="1">
        <f>YEAR(W_カレンダー[[#This Row],[日付]])</f>
        <v>2024</v>
      </c>
      <c r="D341" s="1">
        <f>IF(W_カレンダー[[#This Row],[月]]&lt;=3,W_カレンダー[[#This Row],[暦年]]-1,W_カレンダー[[#This Row],[暦年]])</f>
        <v>2023</v>
      </c>
      <c r="E341" s="1" t="str">
        <f>IF(W_カレンダー[[#This Row],[月]]&lt;=3,"Q4",IF(W_カレンダー[[#This Row],[月]]&lt;=6,"Q1",IF(W_カレンダー[[#This Row],[月]]&lt;=9,"Q2","Q3")))</f>
        <v>Q4</v>
      </c>
    </row>
    <row r="342" spans="1:5" ht="18" customHeight="1" x14ac:dyDescent="0.25">
      <c r="A342" s="27">
        <v>45357</v>
      </c>
      <c r="B342" s="29">
        <f>MONTH(W_カレンダー[[#This Row],[日付]])</f>
        <v>3</v>
      </c>
      <c r="C342" s="1">
        <f>YEAR(W_カレンダー[[#This Row],[日付]])</f>
        <v>2024</v>
      </c>
      <c r="D342" s="1">
        <f>IF(W_カレンダー[[#This Row],[月]]&lt;=3,W_カレンダー[[#This Row],[暦年]]-1,W_カレンダー[[#This Row],[暦年]])</f>
        <v>2023</v>
      </c>
      <c r="E342" s="1" t="str">
        <f>IF(W_カレンダー[[#This Row],[月]]&lt;=3,"Q4",IF(W_カレンダー[[#This Row],[月]]&lt;=6,"Q1",IF(W_カレンダー[[#This Row],[月]]&lt;=9,"Q2","Q3")))</f>
        <v>Q4</v>
      </c>
    </row>
    <row r="343" spans="1:5" ht="18" customHeight="1" x14ac:dyDescent="0.25">
      <c r="A343" s="27">
        <v>45358</v>
      </c>
      <c r="B343" s="29">
        <f>MONTH(W_カレンダー[[#This Row],[日付]])</f>
        <v>3</v>
      </c>
      <c r="C343" s="1">
        <f>YEAR(W_カレンダー[[#This Row],[日付]])</f>
        <v>2024</v>
      </c>
      <c r="D343" s="1">
        <f>IF(W_カレンダー[[#This Row],[月]]&lt;=3,W_カレンダー[[#This Row],[暦年]]-1,W_カレンダー[[#This Row],[暦年]])</f>
        <v>2023</v>
      </c>
      <c r="E343" s="1" t="str">
        <f>IF(W_カレンダー[[#This Row],[月]]&lt;=3,"Q4",IF(W_カレンダー[[#This Row],[月]]&lt;=6,"Q1",IF(W_カレンダー[[#This Row],[月]]&lt;=9,"Q2","Q3")))</f>
        <v>Q4</v>
      </c>
    </row>
    <row r="344" spans="1:5" ht="18" customHeight="1" x14ac:dyDescent="0.25">
      <c r="A344" s="27">
        <v>45359</v>
      </c>
      <c r="B344" s="29">
        <f>MONTH(W_カレンダー[[#This Row],[日付]])</f>
        <v>3</v>
      </c>
      <c r="C344" s="1">
        <f>YEAR(W_カレンダー[[#This Row],[日付]])</f>
        <v>2024</v>
      </c>
      <c r="D344" s="1">
        <f>IF(W_カレンダー[[#This Row],[月]]&lt;=3,W_カレンダー[[#This Row],[暦年]]-1,W_カレンダー[[#This Row],[暦年]])</f>
        <v>2023</v>
      </c>
      <c r="E344" s="1" t="str">
        <f>IF(W_カレンダー[[#This Row],[月]]&lt;=3,"Q4",IF(W_カレンダー[[#This Row],[月]]&lt;=6,"Q1",IF(W_カレンダー[[#This Row],[月]]&lt;=9,"Q2","Q3")))</f>
        <v>Q4</v>
      </c>
    </row>
    <row r="345" spans="1:5" ht="18" customHeight="1" x14ac:dyDescent="0.25">
      <c r="A345" s="27">
        <v>45360</v>
      </c>
      <c r="B345" s="29">
        <f>MONTH(W_カレンダー[[#This Row],[日付]])</f>
        <v>3</v>
      </c>
      <c r="C345" s="1">
        <f>YEAR(W_カレンダー[[#This Row],[日付]])</f>
        <v>2024</v>
      </c>
      <c r="D345" s="1">
        <f>IF(W_カレンダー[[#This Row],[月]]&lt;=3,W_カレンダー[[#This Row],[暦年]]-1,W_カレンダー[[#This Row],[暦年]])</f>
        <v>2023</v>
      </c>
      <c r="E345" s="1" t="str">
        <f>IF(W_カレンダー[[#This Row],[月]]&lt;=3,"Q4",IF(W_カレンダー[[#This Row],[月]]&lt;=6,"Q1",IF(W_カレンダー[[#This Row],[月]]&lt;=9,"Q2","Q3")))</f>
        <v>Q4</v>
      </c>
    </row>
    <row r="346" spans="1:5" ht="18" customHeight="1" x14ac:dyDescent="0.25">
      <c r="A346" s="27">
        <v>45361</v>
      </c>
      <c r="B346" s="29">
        <f>MONTH(W_カレンダー[[#This Row],[日付]])</f>
        <v>3</v>
      </c>
      <c r="C346" s="1">
        <f>YEAR(W_カレンダー[[#This Row],[日付]])</f>
        <v>2024</v>
      </c>
      <c r="D346" s="1">
        <f>IF(W_カレンダー[[#This Row],[月]]&lt;=3,W_カレンダー[[#This Row],[暦年]]-1,W_カレンダー[[#This Row],[暦年]])</f>
        <v>2023</v>
      </c>
      <c r="E346" s="1" t="str">
        <f>IF(W_カレンダー[[#This Row],[月]]&lt;=3,"Q4",IF(W_カレンダー[[#This Row],[月]]&lt;=6,"Q1",IF(W_カレンダー[[#This Row],[月]]&lt;=9,"Q2","Q3")))</f>
        <v>Q4</v>
      </c>
    </row>
    <row r="347" spans="1:5" ht="18" customHeight="1" x14ac:dyDescent="0.25">
      <c r="A347" s="27">
        <v>45362</v>
      </c>
      <c r="B347" s="29">
        <f>MONTH(W_カレンダー[[#This Row],[日付]])</f>
        <v>3</v>
      </c>
      <c r="C347" s="1">
        <f>YEAR(W_カレンダー[[#This Row],[日付]])</f>
        <v>2024</v>
      </c>
      <c r="D347" s="1">
        <f>IF(W_カレンダー[[#This Row],[月]]&lt;=3,W_カレンダー[[#This Row],[暦年]]-1,W_カレンダー[[#This Row],[暦年]])</f>
        <v>2023</v>
      </c>
      <c r="E347" s="1" t="str">
        <f>IF(W_カレンダー[[#This Row],[月]]&lt;=3,"Q4",IF(W_カレンダー[[#This Row],[月]]&lt;=6,"Q1",IF(W_カレンダー[[#This Row],[月]]&lt;=9,"Q2","Q3")))</f>
        <v>Q4</v>
      </c>
    </row>
    <row r="348" spans="1:5" ht="18" customHeight="1" x14ac:dyDescent="0.25">
      <c r="A348" s="27">
        <v>45363</v>
      </c>
      <c r="B348" s="29">
        <f>MONTH(W_カレンダー[[#This Row],[日付]])</f>
        <v>3</v>
      </c>
      <c r="C348" s="1">
        <f>YEAR(W_カレンダー[[#This Row],[日付]])</f>
        <v>2024</v>
      </c>
      <c r="D348" s="1">
        <f>IF(W_カレンダー[[#This Row],[月]]&lt;=3,W_カレンダー[[#This Row],[暦年]]-1,W_カレンダー[[#This Row],[暦年]])</f>
        <v>2023</v>
      </c>
      <c r="E348" s="1" t="str">
        <f>IF(W_カレンダー[[#This Row],[月]]&lt;=3,"Q4",IF(W_カレンダー[[#This Row],[月]]&lt;=6,"Q1",IF(W_カレンダー[[#This Row],[月]]&lt;=9,"Q2","Q3")))</f>
        <v>Q4</v>
      </c>
    </row>
    <row r="349" spans="1:5" ht="18" customHeight="1" x14ac:dyDescent="0.25">
      <c r="A349" s="27">
        <v>45364</v>
      </c>
      <c r="B349" s="29">
        <f>MONTH(W_カレンダー[[#This Row],[日付]])</f>
        <v>3</v>
      </c>
      <c r="C349" s="1">
        <f>YEAR(W_カレンダー[[#This Row],[日付]])</f>
        <v>2024</v>
      </c>
      <c r="D349" s="1">
        <f>IF(W_カレンダー[[#This Row],[月]]&lt;=3,W_カレンダー[[#This Row],[暦年]]-1,W_カレンダー[[#This Row],[暦年]])</f>
        <v>2023</v>
      </c>
      <c r="E349" s="1" t="str">
        <f>IF(W_カレンダー[[#This Row],[月]]&lt;=3,"Q4",IF(W_カレンダー[[#This Row],[月]]&lt;=6,"Q1",IF(W_カレンダー[[#This Row],[月]]&lt;=9,"Q2","Q3")))</f>
        <v>Q4</v>
      </c>
    </row>
    <row r="350" spans="1:5" ht="18" customHeight="1" x14ac:dyDescent="0.25">
      <c r="A350" s="27">
        <v>45365</v>
      </c>
      <c r="B350" s="29">
        <f>MONTH(W_カレンダー[[#This Row],[日付]])</f>
        <v>3</v>
      </c>
      <c r="C350" s="1">
        <f>YEAR(W_カレンダー[[#This Row],[日付]])</f>
        <v>2024</v>
      </c>
      <c r="D350" s="1">
        <f>IF(W_カレンダー[[#This Row],[月]]&lt;=3,W_カレンダー[[#This Row],[暦年]]-1,W_カレンダー[[#This Row],[暦年]])</f>
        <v>2023</v>
      </c>
      <c r="E350" s="1" t="str">
        <f>IF(W_カレンダー[[#This Row],[月]]&lt;=3,"Q4",IF(W_カレンダー[[#This Row],[月]]&lt;=6,"Q1",IF(W_カレンダー[[#This Row],[月]]&lt;=9,"Q2","Q3")))</f>
        <v>Q4</v>
      </c>
    </row>
    <row r="351" spans="1:5" ht="18" customHeight="1" x14ac:dyDescent="0.25">
      <c r="A351" s="27">
        <v>45366</v>
      </c>
      <c r="B351" s="29">
        <f>MONTH(W_カレンダー[[#This Row],[日付]])</f>
        <v>3</v>
      </c>
      <c r="C351" s="1">
        <f>YEAR(W_カレンダー[[#This Row],[日付]])</f>
        <v>2024</v>
      </c>
      <c r="D351" s="1">
        <f>IF(W_カレンダー[[#This Row],[月]]&lt;=3,W_カレンダー[[#This Row],[暦年]]-1,W_カレンダー[[#This Row],[暦年]])</f>
        <v>2023</v>
      </c>
      <c r="E351" s="1" t="str">
        <f>IF(W_カレンダー[[#This Row],[月]]&lt;=3,"Q4",IF(W_カレンダー[[#This Row],[月]]&lt;=6,"Q1",IF(W_カレンダー[[#This Row],[月]]&lt;=9,"Q2","Q3")))</f>
        <v>Q4</v>
      </c>
    </row>
    <row r="352" spans="1:5" ht="18" customHeight="1" x14ac:dyDescent="0.25">
      <c r="A352" s="27">
        <v>45367</v>
      </c>
      <c r="B352" s="29">
        <f>MONTH(W_カレンダー[[#This Row],[日付]])</f>
        <v>3</v>
      </c>
      <c r="C352" s="1">
        <f>YEAR(W_カレンダー[[#This Row],[日付]])</f>
        <v>2024</v>
      </c>
      <c r="D352" s="1">
        <f>IF(W_カレンダー[[#This Row],[月]]&lt;=3,W_カレンダー[[#This Row],[暦年]]-1,W_カレンダー[[#This Row],[暦年]])</f>
        <v>2023</v>
      </c>
      <c r="E352" s="1" t="str">
        <f>IF(W_カレンダー[[#This Row],[月]]&lt;=3,"Q4",IF(W_カレンダー[[#This Row],[月]]&lt;=6,"Q1",IF(W_カレンダー[[#This Row],[月]]&lt;=9,"Q2","Q3")))</f>
        <v>Q4</v>
      </c>
    </row>
    <row r="353" spans="1:5" ht="18" customHeight="1" x14ac:dyDescent="0.25">
      <c r="A353" s="27">
        <v>45368</v>
      </c>
      <c r="B353" s="29">
        <f>MONTH(W_カレンダー[[#This Row],[日付]])</f>
        <v>3</v>
      </c>
      <c r="C353" s="1">
        <f>YEAR(W_カレンダー[[#This Row],[日付]])</f>
        <v>2024</v>
      </c>
      <c r="D353" s="1">
        <f>IF(W_カレンダー[[#This Row],[月]]&lt;=3,W_カレンダー[[#This Row],[暦年]]-1,W_カレンダー[[#This Row],[暦年]])</f>
        <v>2023</v>
      </c>
      <c r="E353" s="1" t="str">
        <f>IF(W_カレンダー[[#This Row],[月]]&lt;=3,"Q4",IF(W_カレンダー[[#This Row],[月]]&lt;=6,"Q1",IF(W_カレンダー[[#This Row],[月]]&lt;=9,"Q2","Q3")))</f>
        <v>Q4</v>
      </c>
    </row>
    <row r="354" spans="1:5" ht="18" customHeight="1" x14ac:dyDescent="0.25">
      <c r="A354" s="27">
        <v>45369</v>
      </c>
      <c r="B354" s="29">
        <f>MONTH(W_カレンダー[[#This Row],[日付]])</f>
        <v>3</v>
      </c>
      <c r="C354" s="1">
        <f>YEAR(W_カレンダー[[#This Row],[日付]])</f>
        <v>2024</v>
      </c>
      <c r="D354" s="1">
        <f>IF(W_カレンダー[[#This Row],[月]]&lt;=3,W_カレンダー[[#This Row],[暦年]]-1,W_カレンダー[[#This Row],[暦年]])</f>
        <v>2023</v>
      </c>
      <c r="E354" s="1" t="str">
        <f>IF(W_カレンダー[[#This Row],[月]]&lt;=3,"Q4",IF(W_カレンダー[[#This Row],[月]]&lt;=6,"Q1",IF(W_カレンダー[[#This Row],[月]]&lt;=9,"Q2","Q3")))</f>
        <v>Q4</v>
      </c>
    </row>
    <row r="355" spans="1:5" ht="18" customHeight="1" x14ac:dyDescent="0.25">
      <c r="A355" s="27">
        <v>45370</v>
      </c>
      <c r="B355" s="29">
        <f>MONTH(W_カレンダー[[#This Row],[日付]])</f>
        <v>3</v>
      </c>
      <c r="C355" s="1">
        <f>YEAR(W_カレンダー[[#This Row],[日付]])</f>
        <v>2024</v>
      </c>
      <c r="D355" s="1">
        <f>IF(W_カレンダー[[#This Row],[月]]&lt;=3,W_カレンダー[[#This Row],[暦年]]-1,W_カレンダー[[#This Row],[暦年]])</f>
        <v>2023</v>
      </c>
      <c r="E355" s="1" t="str">
        <f>IF(W_カレンダー[[#This Row],[月]]&lt;=3,"Q4",IF(W_カレンダー[[#This Row],[月]]&lt;=6,"Q1",IF(W_カレンダー[[#This Row],[月]]&lt;=9,"Q2","Q3")))</f>
        <v>Q4</v>
      </c>
    </row>
    <row r="356" spans="1:5" ht="18" customHeight="1" x14ac:dyDescent="0.25">
      <c r="A356" s="27">
        <v>45371</v>
      </c>
      <c r="B356" s="29">
        <f>MONTH(W_カレンダー[[#This Row],[日付]])</f>
        <v>3</v>
      </c>
      <c r="C356" s="1">
        <f>YEAR(W_カレンダー[[#This Row],[日付]])</f>
        <v>2024</v>
      </c>
      <c r="D356" s="1">
        <f>IF(W_カレンダー[[#This Row],[月]]&lt;=3,W_カレンダー[[#This Row],[暦年]]-1,W_カレンダー[[#This Row],[暦年]])</f>
        <v>2023</v>
      </c>
      <c r="E356" s="1" t="str">
        <f>IF(W_カレンダー[[#This Row],[月]]&lt;=3,"Q4",IF(W_カレンダー[[#This Row],[月]]&lt;=6,"Q1",IF(W_カレンダー[[#This Row],[月]]&lt;=9,"Q2","Q3")))</f>
        <v>Q4</v>
      </c>
    </row>
    <row r="357" spans="1:5" ht="18" customHeight="1" x14ac:dyDescent="0.25">
      <c r="A357" s="27">
        <v>45372</v>
      </c>
      <c r="B357" s="29">
        <f>MONTH(W_カレンダー[[#This Row],[日付]])</f>
        <v>3</v>
      </c>
      <c r="C357" s="1">
        <f>YEAR(W_カレンダー[[#This Row],[日付]])</f>
        <v>2024</v>
      </c>
      <c r="D357" s="1">
        <f>IF(W_カレンダー[[#This Row],[月]]&lt;=3,W_カレンダー[[#This Row],[暦年]]-1,W_カレンダー[[#This Row],[暦年]])</f>
        <v>2023</v>
      </c>
      <c r="E357" s="1" t="str">
        <f>IF(W_カレンダー[[#This Row],[月]]&lt;=3,"Q4",IF(W_カレンダー[[#This Row],[月]]&lt;=6,"Q1",IF(W_カレンダー[[#This Row],[月]]&lt;=9,"Q2","Q3")))</f>
        <v>Q4</v>
      </c>
    </row>
    <row r="358" spans="1:5" ht="18" customHeight="1" x14ac:dyDescent="0.25">
      <c r="A358" s="27">
        <v>45373</v>
      </c>
      <c r="B358" s="29">
        <f>MONTH(W_カレンダー[[#This Row],[日付]])</f>
        <v>3</v>
      </c>
      <c r="C358" s="1">
        <f>YEAR(W_カレンダー[[#This Row],[日付]])</f>
        <v>2024</v>
      </c>
      <c r="D358" s="1">
        <f>IF(W_カレンダー[[#This Row],[月]]&lt;=3,W_カレンダー[[#This Row],[暦年]]-1,W_カレンダー[[#This Row],[暦年]])</f>
        <v>2023</v>
      </c>
      <c r="E358" s="1" t="str">
        <f>IF(W_カレンダー[[#This Row],[月]]&lt;=3,"Q4",IF(W_カレンダー[[#This Row],[月]]&lt;=6,"Q1",IF(W_カレンダー[[#This Row],[月]]&lt;=9,"Q2","Q3")))</f>
        <v>Q4</v>
      </c>
    </row>
    <row r="359" spans="1:5" ht="18" customHeight="1" x14ac:dyDescent="0.25">
      <c r="A359" s="27">
        <v>45374</v>
      </c>
      <c r="B359" s="29">
        <f>MONTH(W_カレンダー[[#This Row],[日付]])</f>
        <v>3</v>
      </c>
      <c r="C359" s="1">
        <f>YEAR(W_カレンダー[[#This Row],[日付]])</f>
        <v>2024</v>
      </c>
      <c r="D359" s="1">
        <f>IF(W_カレンダー[[#This Row],[月]]&lt;=3,W_カレンダー[[#This Row],[暦年]]-1,W_カレンダー[[#This Row],[暦年]])</f>
        <v>2023</v>
      </c>
      <c r="E359" s="1" t="str">
        <f>IF(W_カレンダー[[#This Row],[月]]&lt;=3,"Q4",IF(W_カレンダー[[#This Row],[月]]&lt;=6,"Q1",IF(W_カレンダー[[#This Row],[月]]&lt;=9,"Q2","Q3")))</f>
        <v>Q4</v>
      </c>
    </row>
    <row r="360" spans="1:5" ht="18" customHeight="1" x14ac:dyDescent="0.25">
      <c r="A360" s="27">
        <v>45375</v>
      </c>
      <c r="B360" s="29">
        <f>MONTH(W_カレンダー[[#This Row],[日付]])</f>
        <v>3</v>
      </c>
      <c r="C360" s="1">
        <f>YEAR(W_カレンダー[[#This Row],[日付]])</f>
        <v>2024</v>
      </c>
      <c r="D360" s="1">
        <f>IF(W_カレンダー[[#This Row],[月]]&lt;=3,W_カレンダー[[#This Row],[暦年]]-1,W_カレンダー[[#This Row],[暦年]])</f>
        <v>2023</v>
      </c>
      <c r="E360" s="1" t="str">
        <f>IF(W_カレンダー[[#This Row],[月]]&lt;=3,"Q4",IF(W_カレンダー[[#This Row],[月]]&lt;=6,"Q1",IF(W_カレンダー[[#This Row],[月]]&lt;=9,"Q2","Q3")))</f>
        <v>Q4</v>
      </c>
    </row>
    <row r="361" spans="1:5" ht="18" customHeight="1" x14ac:dyDescent="0.25">
      <c r="A361" s="27">
        <v>45376</v>
      </c>
      <c r="B361" s="29">
        <f>MONTH(W_カレンダー[[#This Row],[日付]])</f>
        <v>3</v>
      </c>
      <c r="C361" s="1">
        <f>YEAR(W_カレンダー[[#This Row],[日付]])</f>
        <v>2024</v>
      </c>
      <c r="D361" s="1">
        <f>IF(W_カレンダー[[#This Row],[月]]&lt;=3,W_カレンダー[[#This Row],[暦年]]-1,W_カレンダー[[#This Row],[暦年]])</f>
        <v>2023</v>
      </c>
      <c r="E361" s="1" t="str">
        <f>IF(W_カレンダー[[#This Row],[月]]&lt;=3,"Q4",IF(W_カレンダー[[#This Row],[月]]&lt;=6,"Q1",IF(W_カレンダー[[#This Row],[月]]&lt;=9,"Q2","Q3")))</f>
        <v>Q4</v>
      </c>
    </row>
    <row r="362" spans="1:5" ht="18" customHeight="1" x14ac:dyDescent="0.25">
      <c r="A362" s="27">
        <v>45377</v>
      </c>
      <c r="B362" s="29">
        <f>MONTH(W_カレンダー[[#This Row],[日付]])</f>
        <v>3</v>
      </c>
      <c r="C362" s="1">
        <f>YEAR(W_カレンダー[[#This Row],[日付]])</f>
        <v>2024</v>
      </c>
      <c r="D362" s="1">
        <f>IF(W_カレンダー[[#This Row],[月]]&lt;=3,W_カレンダー[[#This Row],[暦年]]-1,W_カレンダー[[#This Row],[暦年]])</f>
        <v>2023</v>
      </c>
      <c r="E362" s="1" t="str">
        <f>IF(W_カレンダー[[#This Row],[月]]&lt;=3,"Q4",IF(W_カレンダー[[#This Row],[月]]&lt;=6,"Q1",IF(W_カレンダー[[#This Row],[月]]&lt;=9,"Q2","Q3")))</f>
        <v>Q4</v>
      </c>
    </row>
    <row r="363" spans="1:5" ht="18" customHeight="1" x14ac:dyDescent="0.25">
      <c r="A363" s="27">
        <v>45378</v>
      </c>
      <c r="B363" s="29">
        <f>MONTH(W_カレンダー[[#This Row],[日付]])</f>
        <v>3</v>
      </c>
      <c r="C363" s="1">
        <f>YEAR(W_カレンダー[[#This Row],[日付]])</f>
        <v>2024</v>
      </c>
      <c r="D363" s="1">
        <f>IF(W_カレンダー[[#This Row],[月]]&lt;=3,W_カレンダー[[#This Row],[暦年]]-1,W_カレンダー[[#This Row],[暦年]])</f>
        <v>2023</v>
      </c>
      <c r="E363" s="1" t="str">
        <f>IF(W_カレンダー[[#This Row],[月]]&lt;=3,"Q4",IF(W_カレンダー[[#This Row],[月]]&lt;=6,"Q1",IF(W_カレンダー[[#This Row],[月]]&lt;=9,"Q2","Q3")))</f>
        <v>Q4</v>
      </c>
    </row>
    <row r="364" spans="1:5" ht="18" customHeight="1" x14ac:dyDescent="0.25">
      <c r="A364" s="27">
        <v>45379</v>
      </c>
      <c r="B364" s="29">
        <f>MONTH(W_カレンダー[[#This Row],[日付]])</f>
        <v>3</v>
      </c>
      <c r="C364" s="1">
        <f>YEAR(W_カレンダー[[#This Row],[日付]])</f>
        <v>2024</v>
      </c>
      <c r="D364" s="1">
        <f>IF(W_カレンダー[[#This Row],[月]]&lt;=3,W_カレンダー[[#This Row],[暦年]]-1,W_カレンダー[[#This Row],[暦年]])</f>
        <v>2023</v>
      </c>
      <c r="E364" s="1" t="str">
        <f>IF(W_カレンダー[[#This Row],[月]]&lt;=3,"Q4",IF(W_カレンダー[[#This Row],[月]]&lt;=6,"Q1",IF(W_カレンダー[[#This Row],[月]]&lt;=9,"Q2","Q3")))</f>
        <v>Q4</v>
      </c>
    </row>
    <row r="365" spans="1:5" ht="18" customHeight="1" x14ac:dyDescent="0.25">
      <c r="A365" s="27">
        <v>45380</v>
      </c>
      <c r="B365" s="29">
        <f>MONTH(W_カレンダー[[#This Row],[日付]])</f>
        <v>3</v>
      </c>
      <c r="C365" s="1">
        <f>YEAR(W_カレンダー[[#This Row],[日付]])</f>
        <v>2024</v>
      </c>
      <c r="D365" s="1">
        <f>IF(W_カレンダー[[#This Row],[月]]&lt;=3,W_カレンダー[[#This Row],[暦年]]-1,W_カレンダー[[#This Row],[暦年]])</f>
        <v>2023</v>
      </c>
      <c r="E365" s="1" t="str">
        <f>IF(W_カレンダー[[#This Row],[月]]&lt;=3,"Q4",IF(W_カレンダー[[#This Row],[月]]&lt;=6,"Q1",IF(W_カレンダー[[#This Row],[月]]&lt;=9,"Q2","Q3")))</f>
        <v>Q4</v>
      </c>
    </row>
    <row r="366" spans="1:5" ht="18" customHeight="1" x14ac:dyDescent="0.25">
      <c r="A366" s="27">
        <v>45381</v>
      </c>
      <c r="B366" s="29">
        <f>MONTH(W_カレンダー[[#This Row],[日付]])</f>
        <v>3</v>
      </c>
      <c r="C366" s="1">
        <f>YEAR(W_カレンダー[[#This Row],[日付]])</f>
        <v>2024</v>
      </c>
      <c r="D366" s="1">
        <f>IF(W_カレンダー[[#This Row],[月]]&lt;=3,W_カレンダー[[#This Row],[暦年]]-1,W_カレンダー[[#This Row],[暦年]])</f>
        <v>2023</v>
      </c>
      <c r="E366" s="1" t="str">
        <f>IF(W_カレンダー[[#This Row],[月]]&lt;=3,"Q4",IF(W_カレンダー[[#This Row],[月]]&lt;=6,"Q1",IF(W_カレンダー[[#This Row],[月]]&lt;=9,"Q2","Q3")))</f>
        <v>Q4</v>
      </c>
    </row>
    <row r="367" spans="1:5" ht="18" customHeight="1" x14ac:dyDescent="0.25">
      <c r="A367" s="27">
        <v>45382</v>
      </c>
      <c r="B367" s="29">
        <f>MONTH(W_カレンダー[[#This Row],[日付]])</f>
        <v>3</v>
      </c>
      <c r="C367" s="1">
        <f>YEAR(W_カレンダー[[#This Row],[日付]])</f>
        <v>2024</v>
      </c>
      <c r="D367" s="1">
        <f>IF(W_カレンダー[[#This Row],[月]]&lt;=3,W_カレンダー[[#This Row],[暦年]]-1,W_カレンダー[[#This Row],[暦年]])</f>
        <v>2023</v>
      </c>
      <c r="E367" s="1" t="str">
        <f>IF(W_カレンダー[[#This Row],[月]]&lt;=3,"Q4",IF(W_カレンダー[[#This Row],[月]]&lt;=6,"Q1",IF(W_カレンダー[[#This Row],[月]]&lt;=9,"Q2","Q3")))</f>
        <v>Q4</v>
      </c>
    </row>
    <row r="368" spans="1:5" ht="18" customHeight="1" x14ac:dyDescent="0.25">
      <c r="A368" s="27">
        <v>45383</v>
      </c>
      <c r="B368" s="29">
        <f>MONTH(W_カレンダー[[#This Row],[日付]])</f>
        <v>4</v>
      </c>
      <c r="C368" s="1">
        <f>YEAR(W_カレンダー[[#This Row],[日付]])</f>
        <v>2024</v>
      </c>
      <c r="D368" s="1">
        <f>IF(W_カレンダー[[#This Row],[月]]&lt;=3,W_カレンダー[[#This Row],[暦年]]-1,W_カレンダー[[#This Row],[暦年]])</f>
        <v>2024</v>
      </c>
      <c r="E368" s="1" t="str">
        <f>IF(W_カレンダー[[#This Row],[月]]&lt;=3,"Q4",IF(W_カレンダー[[#This Row],[月]]&lt;=6,"Q1",IF(W_カレンダー[[#This Row],[月]]&lt;=9,"Q2","Q3")))</f>
        <v>Q1</v>
      </c>
    </row>
    <row r="369" spans="1:5" ht="18" customHeight="1" x14ac:dyDescent="0.25">
      <c r="A369" s="27">
        <v>45384</v>
      </c>
      <c r="B369" s="29">
        <f>MONTH(W_カレンダー[[#This Row],[日付]])</f>
        <v>4</v>
      </c>
      <c r="C369" s="1">
        <f>YEAR(W_カレンダー[[#This Row],[日付]])</f>
        <v>2024</v>
      </c>
      <c r="D369" s="1">
        <f>IF(W_カレンダー[[#This Row],[月]]&lt;=3,W_カレンダー[[#This Row],[暦年]]-1,W_カレンダー[[#This Row],[暦年]])</f>
        <v>2024</v>
      </c>
      <c r="E369" s="1" t="str">
        <f>IF(W_カレンダー[[#This Row],[月]]&lt;=3,"Q4",IF(W_カレンダー[[#This Row],[月]]&lt;=6,"Q1",IF(W_カレンダー[[#This Row],[月]]&lt;=9,"Q2","Q3")))</f>
        <v>Q1</v>
      </c>
    </row>
    <row r="370" spans="1:5" ht="18" customHeight="1" x14ac:dyDescent="0.25">
      <c r="A370" s="27">
        <v>45385</v>
      </c>
      <c r="B370" s="29">
        <f>MONTH(W_カレンダー[[#This Row],[日付]])</f>
        <v>4</v>
      </c>
      <c r="C370" s="1">
        <f>YEAR(W_カレンダー[[#This Row],[日付]])</f>
        <v>2024</v>
      </c>
      <c r="D370" s="1">
        <f>IF(W_カレンダー[[#This Row],[月]]&lt;=3,W_カレンダー[[#This Row],[暦年]]-1,W_カレンダー[[#This Row],[暦年]])</f>
        <v>2024</v>
      </c>
      <c r="E370" s="1" t="str">
        <f>IF(W_カレンダー[[#This Row],[月]]&lt;=3,"Q4",IF(W_カレンダー[[#This Row],[月]]&lt;=6,"Q1",IF(W_カレンダー[[#This Row],[月]]&lt;=9,"Q2","Q3")))</f>
        <v>Q1</v>
      </c>
    </row>
    <row r="371" spans="1:5" ht="18" customHeight="1" x14ac:dyDescent="0.25">
      <c r="A371" s="27">
        <v>45386</v>
      </c>
      <c r="B371" s="29">
        <f>MONTH(W_カレンダー[[#This Row],[日付]])</f>
        <v>4</v>
      </c>
      <c r="C371" s="1">
        <f>YEAR(W_カレンダー[[#This Row],[日付]])</f>
        <v>2024</v>
      </c>
      <c r="D371" s="1">
        <f>IF(W_カレンダー[[#This Row],[月]]&lt;=3,W_カレンダー[[#This Row],[暦年]]-1,W_カレンダー[[#This Row],[暦年]])</f>
        <v>2024</v>
      </c>
      <c r="E371" s="1" t="str">
        <f>IF(W_カレンダー[[#This Row],[月]]&lt;=3,"Q4",IF(W_カレンダー[[#This Row],[月]]&lt;=6,"Q1",IF(W_カレンダー[[#This Row],[月]]&lt;=9,"Q2","Q3")))</f>
        <v>Q1</v>
      </c>
    </row>
    <row r="372" spans="1:5" ht="18" customHeight="1" x14ac:dyDescent="0.25">
      <c r="A372" s="27">
        <v>45387</v>
      </c>
      <c r="B372" s="29">
        <f>MONTH(W_カレンダー[[#This Row],[日付]])</f>
        <v>4</v>
      </c>
      <c r="C372" s="1">
        <f>YEAR(W_カレンダー[[#This Row],[日付]])</f>
        <v>2024</v>
      </c>
      <c r="D372" s="1">
        <f>IF(W_カレンダー[[#This Row],[月]]&lt;=3,W_カレンダー[[#This Row],[暦年]]-1,W_カレンダー[[#This Row],[暦年]])</f>
        <v>2024</v>
      </c>
      <c r="E372" s="1" t="str">
        <f>IF(W_カレンダー[[#This Row],[月]]&lt;=3,"Q4",IF(W_カレンダー[[#This Row],[月]]&lt;=6,"Q1",IF(W_カレンダー[[#This Row],[月]]&lt;=9,"Q2","Q3")))</f>
        <v>Q1</v>
      </c>
    </row>
    <row r="373" spans="1:5" ht="18" customHeight="1" x14ac:dyDescent="0.25">
      <c r="A373" s="27">
        <v>45388</v>
      </c>
      <c r="B373" s="29">
        <f>MONTH(W_カレンダー[[#This Row],[日付]])</f>
        <v>4</v>
      </c>
      <c r="C373" s="1">
        <f>YEAR(W_カレンダー[[#This Row],[日付]])</f>
        <v>2024</v>
      </c>
      <c r="D373" s="1">
        <f>IF(W_カレンダー[[#This Row],[月]]&lt;=3,W_カレンダー[[#This Row],[暦年]]-1,W_カレンダー[[#This Row],[暦年]])</f>
        <v>2024</v>
      </c>
      <c r="E373" s="1" t="str">
        <f>IF(W_カレンダー[[#This Row],[月]]&lt;=3,"Q4",IF(W_カレンダー[[#This Row],[月]]&lt;=6,"Q1",IF(W_カレンダー[[#This Row],[月]]&lt;=9,"Q2","Q3")))</f>
        <v>Q1</v>
      </c>
    </row>
    <row r="374" spans="1:5" ht="18" customHeight="1" x14ac:dyDescent="0.25">
      <c r="A374" s="27">
        <v>45389</v>
      </c>
      <c r="B374" s="29">
        <f>MONTH(W_カレンダー[[#This Row],[日付]])</f>
        <v>4</v>
      </c>
      <c r="C374" s="1">
        <f>YEAR(W_カレンダー[[#This Row],[日付]])</f>
        <v>2024</v>
      </c>
      <c r="D374" s="1">
        <f>IF(W_カレンダー[[#This Row],[月]]&lt;=3,W_カレンダー[[#This Row],[暦年]]-1,W_カレンダー[[#This Row],[暦年]])</f>
        <v>2024</v>
      </c>
      <c r="E374" s="1" t="str">
        <f>IF(W_カレンダー[[#This Row],[月]]&lt;=3,"Q4",IF(W_カレンダー[[#This Row],[月]]&lt;=6,"Q1",IF(W_カレンダー[[#This Row],[月]]&lt;=9,"Q2","Q3")))</f>
        <v>Q1</v>
      </c>
    </row>
    <row r="375" spans="1:5" ht="18" customHeight="1" x14ac:dyDescent="0.25">
      <c r="A375" s="27">
        <v>45390</v>
      </c>
      <c r="B375" s="29">
        <f>MONTH(W_カレンダー[[#This Row],[日付]])</f>
        <v>4</v>
      </c>
      <c r="C375" s="1">
        <f>YEAR(W_カレンダー[[#This Row],[日付]])</f>
        <v>2024</v>
      </c>
      <c r="D375" s="1">
        <f>IF(W_カレンダー[[#This Row],[月]]&lt;=3,W_カレンダー[[#This Row],[暦年]]-1,W_カレンダー[[#This Row],[暦年]])</f>
        <v>2024</v>
      </c>
      <c r="E375" s="1" t="str">
        <f>IF(W_カレンダー[[#This Row],[月]]&lt;=3,"Q4",IF(W_カレンダー[[#This Row],[月]]&lt;=6,"Q1",IF(W_カレンダー[[#This Row],[月]]&lt;=9,"Q2","Q3")))</f>
        <v>Q1</v>
      </c>
    </row>
    <row r="376" spans="1:5" ht="18" customHeight="1" x14ac:dyDescent="0.25">
      <c r="A376" s="27">
        <v>45391</v>
      </c>
      <c r="B376" s="29">
        <f>MONTH(W_カレンダー[[#This Row],[日付]])</f>
        <v>4</v>
      </c>
      <c r="C376" s="1">
        <f>YEAR(W_カレンダー[[#This Row],[日付]])</f>
        <v>2024</v>
      </c>
      <c r="D376" s="1">
        <f>IF(W_カレンダー[[#This Row],[月]]&lt;=3,W_カレンダー[[#This Row],[暦年]]-1,W_カレンダー[[#This Row],[暦年]])</f>
        <v>2024</v>
      </c>
      <c r="E376" s="1" t="str">
        <f>IF(W_カレンダー[[#This Row],[月]]&lt;=3,"Q4",IF(W_カレンダー[[#This Row],[月]]&lt;=6,"Q1",IF(W_カレンダー[[#This Row],[月]]&lt;=9,"Q2","Q3")))</f>
        <v>Q1</v>
      </c>
    </row>
    <row r="377" spans="1:5" ht="18" customHeight="1" x14ac:dyDescent="0.25">
      <c r="A377" s="27">
        <v>45392</v>
      </c>
      <c r="B377" s="29">
        <f>MONTH(W_カレンダー[[#This Row],[日付]])</f>
        <v>4</v>
      </c>
      <c r="C377" s="1">
        <f>YEAR(W_カレンダー[[#This Row],[日付]])</f>
        <v>2024</v>
      </c>
      <c r="D377" s="1">
        <f>IF(W_カレンダー[[#This Row],[月]]&lt;=3,W_カレンダー[[#This Row],[暦年]]-1,W_カレンダー[[#This Row],[暦年]])</f>
        <v>2024</v>
      </c>
      <c r="E377" s="1" t="str">
        <f>IF(W_カレンダー[[#This Row],[月]]&lt;=3,"Q4",IF(W_カレンダー[[#This Row],[月]]&lt;=6,"Q1",IF(W_カレンダー[[#This Row],[月]]&lt;=9,"Q2","Q3")))</f>
        <v>Q1</v>
      </c>
    </row>
    <row r="378" spans="1:5" ht="18" customHeight="1" x14ac:dyDescent="0.25">
      <c r="A378" s="27">
        <v>45393</v>
      </c>
      <c r="B378" s="29">
        <f>MONTH(W_カレンダー[[#This Row],[日付]])</f>
        <v>4</v>
      </c>
      <c r="C378" s="1">
        <f>YEAR(W_カレンダー[[#This Row],[日付]])</f>
        <v>2024</v>
      </c>
      <c r="D378" s="1">
        <f>IF(W_カレンダー[[#This Row],[月]]&lt;=3,W_カレンダー[[#This Row],[暦年]]-1,W_カレンダー[[#This Row],[暦年]])</f>
        <v>2024</v>
      </c>
      <c r="E378" s="1" t="str">
        <f>IF(W_カレンダー[[#This Row],[月]]&lt;=3,"Q4",IF(W_カレンダー[[#This Row],[月]]&lt;=6,"Q1",IF(W_カレンダー[[#This Row],[月]]&lt;=9,"Q2","Q3")))</f>
        <v>Q1</v>
      </c>
    </row>
    <row r="379" spans="1:5" ht="18" customHeight="1" x14ac:dyDescent="0.25">
      <c r="A379" s="27">
        <v>45394</v>
      </c>
      <c r="B379" s="29">
        <f>MONTH(W_カレンダー[[#This Row],[日付]])</f>
        <v>4</v>
      </c>
      <c r="C379" s="1">
        <f>YEAR(W_カレンダー[[#This Row],[日付]])</f>
        <v>2024</v>
      </c>
      <c r="D379" s="1">
        <f>IF(W_カレンダー[[#This Row],[月]]&lt;=3,W_カレンダー[[#This Row],[暦年]]-1,W_カレンダー[[#This Row],[暦年]])</f>
        <v>2024</v>
      </c>
      <c r="E379" s="1" t="str">
        <f>IF(W_カレンダー[[#This Row],[月]]&lt;=3,"Q4",IF(W_カレンダー[[#This Row],[月]]&lt;=6,"Q1",IF(W_カレンダー[[#This Row],[月]]&lt;=9,"Q2","Q3")))</f>
        <v>Q1</v>
      </c>
    </row>
    <row r="380" spans="1:5" ht="18" customHeight="1" x14ac:dyDescent="0.25">
      <c r="A380" s="27">
        <v>45395</v>
      </c>
      <c r="B380" s="29">
        <f>MONTH(W_カレンダー[[#This Row],[日付]])</f>
        <v>4</v>
      </c>
      <c r="C380" s="1">
        <f>YEAR(W_カレンダー[[#This Row],[日付]])</f>
        <v>2024</v>
      </c>
      <c r="D380" s="1">
        <f>IF(W_カレンダー[[#This Row],[月]]&lt;=3,W_カレンダー[[#This Row],[暦年]]-1,W_カレンダー[[#This Row],[暦年]])</f>
        <v>2024</v>
      </c>
      <c r="E380" s="1" t="str">
        <f>IF(W_カレンダー[[#This Row],[月]]&lt;=3,"Q4",IF(W_カレンダー[[#This Row],[月]]&lt;=6,"Q1",IF(W_カレンダー[[#This Row],[月]]&lt;=9,"Q2","Q3")))</f>
        <v>Q1</v>
      </c>
    </row>
    <row r="381" spans="1:5" ht="18" customHeight="1" x14ac:dyDescent="0.25">
      <c r="A381" s="27">
        <v>45396</v>
      </c>
      <c r="B381" s="29">
        <f>MONTH(W_カレンダー[[#This Row],[日付]])</f>
        <v>4</v>
      </c>
      <c r="C381" s="1">
        <f>YEAR(W_カレンダー[[#This Row],[日付]])</f>
        <v>2024</v>
      </c>
      <c r="D381" s="1">
        <f>IF(W_カレンダー[[#This Row],[月]]&lt;=3,W_カレンダー[[#This Row],[暦年]]-1,W_カレンダー[[#This Row],[暦年]])</f>
        <v>2024</v>
      </c>
      <c r="E381" s="1" t="str">
        <f>IF(W_カレンダー[[#This Row],[月]]&lt;=3,"Q4",IF(W_カレンダー[[#This Row],[月]]&lt;=6,"Q1",IF(W_カレンダー[[#This Row],[月]]&lt;=9,"Q2","Q3")))</f>
        <v>Q1</v>
      </c>
    </row>
    <row r="382" spans="1:5" ht="18" customHeight="1" x14ac:dyDescent="0.25">
      <c r="A382" s="27">
        <v>45397</v>
      </c>
      <c r="B382" s="29">
        <f>MONTH(W_カレンダー[[#This Row],[日付]])</f>
        <v>4</v>
      </c>
      <c r="C382" s="1">
        <f>YEAR(W_カレンダー[[#This Row],[日付]])</f>
        <v>2024</v>
      </c>
      <c r="D382" s="1">
        <f>IF(W_カレンダー[[#This Row],[月]]&lt;=3,W_カレンダー[[#This Row],[暦年]]-1,W_カレンダー[[#This Row],[暦年]])</f>
        <v>2024</v>
      </c>
      <c r="E382" s="1" t="str">
        <f>IF(W_カレンダー[[#This Row],[月]]&lt;=3,"Q4",IF(W_カレンダー[[#This Row],[月]]&lt;=6,"Q1",IF(W_カレンダー[[#This Row],[月]]&lt;=9,"Q2","Q3")))</f>
        <v>Q1</v>
      </c>
    </row>
    <row r="383" spans="1:5" ht="18" customHeight="1" x14ac:dyDescent="0.25">
      <c r="A383" s="27">
        <v>45398</v>
      </c>
      <c r="B383" s="29">
        <f>MONTH(W_カレンダー[[#This Row],[日付]])</f>
        <v>4</v>
      </c>
      <c r="C383" s="1">
        <f>YEAR(W_カレンダー[[#This Row],[日付]])</f>
        <v>2024</v>
      </c>
      <c r="D383" s="1">
        <f>IF(W_カレンダー[[#This Row],[月]]&lt;=3,W_カレンダー[[#This Row],[暦年]]-1,W_カレンダー[[#This Row],[暦年]])</f>
        <v>2024</v>
      </c>
      <c r="E383" s="1" t="str">
        <f>IF(W_カレンダー[[#This Row],[月]]&lt;=3,"Q4",IF(W_カレンダー[[#This Row],[月]]&lt;=6,"Q1",IF(W_カレンダー[[#This Row],[月]]&lt;=9,"Q2","Q3")))</f>
        <v>Q1</v>
      </c>
    </row>
    <row r="384" spans="1:5" ht="18" customHeight="1" x14ac:dyDescent="0.25">
      <c r="A384" s="27">
        <v>45399</v>
      </c>
      <c r="B384" s="29">
        <f>MONTH(W_カレンダー[[#This Row],[日付]])</f>
        <v>4</v>
      </c>
      <c r="C384" s="1">
        <f>YEAR(W_カレンダー[[#This Row],[日付]])</f>
        <v>2024</v>
      </c>
      <c r="D384" s="1">
        <f>IF(W_カレンダー[[#This Row],[月]]&lt;=3,W_カレンダー[[#This Row],[暦年]]-1,W_カレンダー[[#This Row],[暦年]])</f>
        <v>2024</v>
      </c>
      <c r="E384" s="1" t="str">
        <f>IF(W_カレンダー[[#This Row],[月]]&lt;=3,"Q4",IF(W_カレンダー[[#This Row],[月]]&lt;=6,"Q1",IF(W_カレンダー[[#This Row],[月]]&lt;=9,"Q2","Q3")))</f>
        <v>Q1</v>
      </c>
    </row>
    <row r="385" spans="1:5" ht="18" customHeight="1" x14ac:dyDescent="0.25">
      <c r="A385" s="27">
        <v>45400</v>
      </c>
      <c r="B385" s="29">
        <f>MONTH(W_カレンダー[[#This Row],[日付]])</f>
        <v>4</v>
      </c>
      <c r="C385" s="1">
        <f>YEAR(W_カレンダー[[#This Row],[日付]])</f>
        <v>2024</v>
      </c>
      <c r="D385" s="1">
        <f>IF(W_カレンダー[[#This Row],[月]]&lt;=3,W_カレンダー[[#This Row],[暦年]]-1,W_カレンダー[[#This Row],[暦年]])</f>
        <v>2024</v>
      </c>
      <c r="E385" s="1" t="str">
        <f>IF(W_カレンダー[[#This Row],[月]]&lt;=3,"Q4",IF(W_カレンダー[[#This Row],[月]]&lt;=6,"Q1",IF(W_カレンダー[[#This Row],[月]]&lt;=9,"Q2","Q3")))</f>
        <v>Q1</v>
      </c>
    </row>
    <row r="386" spans="1:5" ht="18" customHeight="1" x14ac:dyDescent="0.25">
      <c r="A386" s="27">
        <v>45401</v>
      </c>
      <c r="B386" s="29">
        <f>MONTH(W_カレンダー[[#This Row],[日付]])</f>
        <v>4</v>
      </c>
      <c r="C386" s="1">
        <f>YEAR(W_カレンダー[[#This Row],[日付]])</f>
        <v>2024</v>
      </c>
      <c r="D386" s="1">
        <f>IF(W_カレンダー[[#This Row],[月]]&lt;=3,W_カレンダー[[#This Row],[暦年]]-1,W_カレンダー[[#This Row],[暦年]])</f>
        <v>2024</v>
      </c>
      <c r="E386" s="1" t="str">
        <f>IF(W_カレンダー[[#This Row],[月]]&lt;=3,"Q4",IF(W_カレンダー[[#This Row],[月]]&lt;=6,"Q1",IF(W_カレンダー[[#This Row],[月]]&lt;=9,"Q2","Q3")))</f>
        <v>Q1</v>
      </c>
    </row>
    <row r="387" spans="1:5" ht="18" customHeight="1" x14ac:dyDescent="0.25">
      <c r="A387" s="27">
        <v>45402</v>
      </c>
      <c r="B387" s="29">
        <f>MONTH(W_カレンダー[[#This Row],[日付]])</f>
        <v>4</v>
      </c>
      <c r="C387" s="1">
        <f>YEAR(W_カレンダー[[#This Row],[日付]])</f>
        <v>2024</v>
      </c>
      <c r="D387" s="1">
        <f>IF(W_カレンダー[[#This Row],[月]]&lt;=3,W_カレンダー[[#This Row],[暦年]]-1,W_カレンダー[[#This Row],[暦年]])</f>
        <v>2024</v>
      </c>
      <c r="E387" s="1" t="str">
        <f>IF(W_カレンダー[[#This Row],[月]]&lt;=3,"Q4",IF(W_カレンダー[[#This Row],[月]]&lt;=6,"Q1",IF(W_カレンダー[[#This Row],[月]]&lt;=9,"Q2","Q3")))</f>
        <v>Q1</v>
      </c>
    </row>
    <row r="388" spans="1:5" ht="18" customHeight="1" x14ac:dyDescent="0.25">
      <c r="A388" s="27">
        <v>45403</v>
      </c>
      <c r="B388" s="29">
        <f>MONTH(W_カレンダー[[#This Row],[日付]])</f>
        <v>4</v>
      </c>
      <c r="C388" s="1">
        <f>YEAR(W_カレンダー[[#This Row],[日付]])</f>
        <v>2024</v>
      </c>
      <c r="D388" s="1">
        <f>IF(W_カレンダー[[#This Row],[月]]&lt;=3,W_カレンダー[[#This Row],[暦年]]-1,W_カレンダー[[#This Row],[暦年]])</f>
        <v>2024</v>
      </c>
      <c r="E388" s="1" t="str">
        <f>IF(W_カレンダー[[#This Row],[月]]&lt;=3,"Q4",IF(W_カレンダー[[#This Row],[月]]&lt;=6,"Q1",IF(W_カレンダー[[#This Row],[月]]&lt;=9,"Q2","Q3")))</f>
        <v>Q1</v>
      </c>
    </row>
    <row r="389" spans="1:5" ht="18" customHeight="1" x14ac:dyDescent="0.25">
      <c r="A389" s="27">
        <v>45404</v>
      </c>
      <c r="B389" s="29">
        <f>MONTH(W_カレンダー[[#This Row],[日付]])</f>
        <v>4</v>
      </c>
      <c r="C389" s="1">
        <f>YEAR(W_カレンダー[[#This Row],[日付]])</f>
        <v>2024</v>
      </c>
      <c r="D389" s="1">
        <f>IF(W_カレンダー[[#This Row],[月]]&lt;=3,W_カレンダー[[#This Row],[暦年]]-1,W_カレンダー[[#This Row],[暦年]])</f>
        <v>2024</v>
      </c>
      <c r="E389" s="1" t="str">
        <f>IF(W_カレンダー[[#This Row],[月]]&lt;=3,"Q4",IF(W_カレンダー[[#This Row],[月]]&lt;=6,"Q1",IF(W_カレンダー[[#This Row],[月]]&lt;=9,"Q2","Q3")))</f>
        <v>Q1</v>
      </c>
    </row>
    <row r="390" spans="1:5" ht="18" customHeight="1" x14ac:dyDescent="0.25">
      <c r="A390" s="27">
        <v>45405</v>
      </c>
      <c r="B390" s="29">
        <f>MONTH(W_カレンダー[[#This Row],[日付]])</f>
        <v>4</v>
      </c>
      <c r="C390" s="1">
        <f>YEAR(W_カレンダー[[#This Row],[日付]])</f>
        <v>2024</v>
      </c>
      <c r="D390" s="1">
        <f>IF(W_カレンダー[[#This Row],[月]]&lt;=3,W_カレンダー[[#This Row],[暦年]]-1,W_カレンダー[[#This Row],[暦年]])</f>
        <v>2024</v>
      </c>
      <c r="E390" s="1" t="str">
        <f>IF(W_カレンダー[[#This Row],[月]]&lt;=3,"Q4",IF(W_カレンダー[[#This Row],[月]]&lt;=6,"Q1",IF(W_カレンダー[[#This Row],[月]]&lt;=9,"Q2","Q3")))</f>
        <v>Q1</v>
      </c>
    </row>
    <row r="391" spans="1:5" ht="18" customHeight="1" x14ac:dyDescent="0.25">
      <c r="A391" s="27">
        <v>45406</v>
      </c>
      <c r="B391" s="29">
        <f>MONTH(W_カレンダー[[#This Row],[日付]])</f>
        <v>4</v>
      </c>
      <c r="C391" s="1">
        <f>YEAR(W_カレンダー[[#This Row],[日付]])</f>
        <v>2024</v>
      </c>
      <c r="D391" s="1">
        <f>IF(W_カレンダー[[#This Row],[月]]&lt;=3,W_カレンダー[[#This Row],[暦年]]-1,W_カレンダー[[#This Row],[暦年]])</f>
        <v>2024</v>
      </c>
      <c r="E391" s="1" t="str">
        <f>IF(W_カレンダー[[#This Row],[月]]&lt;=3,"Q4",IF(W_カレンダー[[#This Row],[月]]&lt;=6,"Q1",IF(W_カレンダー[[#This Row],[月]]&lt;=9,"Q2","Q3")))</f>
        <v>Q1</v>
      </c>
    </row>
    <row r="392" spans="1:5" ht="18" customHeight="1" x14ac:dyDescent="0.25">
      <c r="A392" s="27">
        <v>45407</v>
      </c>
      <c r="B392" s="29">
        <f>MONTH(W_カレンダー[[#This Row],[日付]])</f>
        <v>4</v>
      </c>
      <c r="C392" s="1">
        <f>YEAR(W_カレンダー[[#This Row],[日付]])</f>
        <v>2024</v>
      </c>
      <c r="D392" s="1">
        <f>IF(W_カレンダー[[#This Row],[月]]&lt;=3,W_カレンダー[[#This Row],[暦年]]-1,W_カレンダー[[#This Row],[暦年]])</f>
        <v>2024</v>
      </c>
      <c r="E392" s="1" t="str">
        <f>IF(W_カレンダー[[#This Row],[月]]&lt;=3,"Q4",IF(W_カレンダー[[#This Row],[月]]&lt;=6,"Q1",IF(W_カレンダー[[#This Row],[月]]&lt;=9,"Q2","Q3")))</f>
        <v>Q1</v>
      </c>
    </row>
    <row r="393" spans="1:5" ht="18" customHeight="1" x14ac:dyDescent="0.25">
      <c r="A393" s="27">
        <v>45408</v>
      </c>
      <c r="B393" s="29">
        <f>MONTH(W_カレンダー[[#This Row],[日付]])</f>
        <v>4</v>
      </c>
      <c r="C393" s="1">
        <f>YEAR(W_カレンダー[[#This Row],[日付]])</f>
        <v>2024</v>
      </c>
      <c r="D393" s="1">
        <f>IF(W_カレンダー[[#This Row],[月]]&lt;=3,W_カレンダー[[#This Row],[暦年]]-1,W_カレンダー[[#This Row],[暦年]])</f>
        <v>2024</v>
      </c>
      <c r="E393" s="1" t="str">
        <f>IF(W_カレンダー[[#This Row],[月]]&lt;=3,"Q4",IF(W_カレンダー[[#This Row],[月]]&lt;=6,"Q1",IF(W_カレンダー[[#This Row],[月]]&lt;=9,"Q2","Q3")))</f>
        <v>Q1</v>
      </c>
    </row>
    <row r="394" spans="1:5" ht="18" customHeight="1" x14ac:dyDescent="0.25">
      <c r="A394" s="27">
        <v>45409</v>
      </c>
      <c r="B394" s="29">
        <f>MONTH(W_カレンダー[[#This Row],[日付]])</f>
        <v>4</v>
      </c>
      <c r="C394" s="1">
        <f>YEAR(W_カレンダー[[#This Row],[日付]])</f>
        <v>2024</v>
      </c>
      <c r="D394" s="1">
        <f>IF(W_カレンダー[[#This Row],[月]]&lt;=3,W_カレンダー[[#This Row],[暦年]]-1,W_カレンダー[[#This Row],[暦年]])</f>
        <v>2024</v>
      </c>
      <c r="E394" s="1" t="str">
        <f>IF(W_カレンダー[[#This Row],[月]]&lt;=3,"Q4",IF(W_カレンダー[[#This Row],[月]]&lt;=6,"Q1",IF(W_カレンダー[[#This Row],[月]]&lt;=9,"Q2","Q3")))</f>
        <v>Q1</v>
      </c>
    </row>
    <row r="395" spans="1:5" ht="18" customHeight="1" x14ac:dyDescent="0.25">
      <c r="A395" s="27">
        <v>45410</v>
      </c>
      <c r="B395" s="29">
        <f>MONTH(W_カレンダー[[#This Row],[日付]])</f>
        <v>4</v>
      </c>
      <c r="C395" s="1">
        <f>YEAR(W_カレンダー[[#This Row],[日付]])</f>
        <v>2024</v>
      </c>
      <c r="D395" s="1">
        <f>IF(W_カレンダー[[#This Row],[月]]&lt;=3,W_カレンダー[[#This Row],[暦年]]-1,W_カレンダー[[#This Row],[暦年]])</f>
        <v>2024</v>
      </c>
      <c r="E395" s="1" t="str">
        <f>IF(W_カレンダー[[#This Row],[月]]&lt;=3,"Q4",IF(W_カレンダー[[#This Row],[月]]&lt;=6,"Q1",IF(W_カレンダー[[#This Row],[月]]&lt;=9,"Q2","Q3")))</f>
        <v>Q1</v>
      </c>
    </row>
    <row r="396" spans="1:5" ht="18" customHeight="1" x14ac:dyDescent="0.25">
      <c r="A396" s="27">
        <v>45411</v>
      </c>
      <c r="B396" s="29">
        <f>MONTH(W_カレンダー[[#This Row],[日付]])</f>
        <v>4</v>
      </c>
      <c r="C396" s="1">
        <f>YEAR(W_カレンダー[[#This Row],[日付]])</f>
        <v>2024</v>
      </c>
      <c r="D396" s="1">
        <f>IF(W_カレンダー[[#This Row],[月]]&lt;=3,W_カレンダー[[#This Row],[暦年]]-1,W_カレンダー[[#This Row],[暦年]])</f>
        <v>2024</v>
      </c>
      <c r="E396" s="1" t="str">
        <f>IF(W_カレンダー[[#This Row],[月]]&lt;=3,"Q4",IF(W_カレンダー[[#This Row],[月]]&lt;=6,"Q1",IF(W_カレンダー[[#This Row],[月]]&lt;=9,"Q2","Q3")))</f>
        <v>Q1</v>
      </c>
    </row>
    <row r="397" spans="1:5" ht="18" customHeight="1" x14ac:dyDescent="0.25">
      <c r="A397" s="27">
        <v>45412</v>
      </c>
      <c r="B397" s="29">
        <f>MONTH(W_カレンダー[[#This Row],[日付]])</f>
        <v>4</v>
      </c>
      <c r="C397" s="1">
        <f>YEAR(W_カレンダー[[#This Row],[日付]])</f>
        <v>2024</v>
      </c>
      <c r="D397" s="1">
        <f>IF(W_カレンダー[[#This Row],[月]]&lt;=3,W_カレンダー[[#This Row],[暦年]]-1,W_カレンダー[[#This Row],[暦年]])</f>
        <v>2024</v>
      </c>
      <c r="E397" s="1" t="str">
        <f>IF(W_カレンダー[[#This Row],[月]]&lt;=3,"Q4",IF(W_カレンダー[[#This Row],[月]]&lt;=6,"Q1",IF(W_カレンダー[[#This Row],[月]]&lt;=9,"Q2","Q3")))</f>
        <v>Q1</v>
      </c>
    </row>
    <row r="398" spans="1:5" ht="18" customHeight="1" x14ac:dyDescent="0.25">
      <c r="A398" s="27">
        <v>45413</v>
      </c>
      <c r="B398" s="29">
        <f>MONTH(W_カレンダー[[#This Row],[日付]])</f>
        <v>5</v>
      </c>
      <c r="C398" s="1">
        <f>YEAR(W_カレンダー[[#This Row],[日付]])</f>
        <v>2024</v>
      </c>
      <c r="D398" s="1">
        <f>IF(W_カレンダー[[#This Row],[月]]&lt;=3,W_カレンダー[[#This Row],[暦年]]-1,W_カレンダー[[#This Row],[暦年]])</f>
        <v>2024</v>
      </c>
      <c r="E398" s="1" t="str">
        <f>IF(W_カレンダー[[#This Row],[月]]&lt;=3,"Q4",IF(W_カレンダー[[#This Row],[月]]&lt;=6,"Q1",IF(W_カレンダー[[#This Row],[月]]&lt;=9,"Q2","Q3")))</f>
        <v>Q1</v>
      </c>
    </row>
    <row r="399" spans="1:5" ht="18" customHeight="1" x14ac:dyDescent="0.25">
      <c r="A399" s="27">
        <v>45414</v>
      </c>
      <c r="B399" s="29">
        <f>MONTH(W_カレンダー[[#This Row],[日付]])</f>
        <v>5</v>
      </c>
      <c r="C399" s="1">
        <f>YEAR(W_カレンダー[[#This Row],[日付]])</f>
        <v>2024</v>
      </c>
      <c r="D399" s="1">
        <f>IF(W_カレンダー[[#This Row],[月]]&lt;=3,W_カレンダー[[#This Row],[暦年]]-1,W_カレンダー[[#This Row],[暦年]])</f>
        <v>2024</v>
      </c>
      <c r="E399" s="1" t="str">
        <f>IF(W_カレンダー[[#This Row],[月]]&lt;=3,"Q4",IF(W_カレンダー[[#This Row],[月]]&lt;=6,"Q1",IF(W_カレンダー[[#This Row],[月]]&lt;=9,"Q2","Q3")))</f>
        <v>Q1</v>
      </c>
    </row>
    <row r="400" spans="1:5" ht="18" customHeight="1" x14ac:dyDescent="0.25">
      <c r="A400" s="27">
        <v>45415</v>
      </c>
      <c r="B400" s="29">
        <f>MONTH(W_カレンダー[[#This Row],[日付]])</f>
        <v>5</v>
      </c>
      <c r="C400" s="1">
        <f>YEAR(W_カレンダー[[#This Row],[日付]])</f>
        <v>2024</v>
      </c>
      <c r="D400" s="1">
        <f>IF(W_カレンダー[[#This Row],[月]]&lt;=3,W_カレンダー[[#This Row],[暦年]]-1,W_カレンダー[[#This Row],[暦年]])</f>
        <v>2024</v>
      </c>
      <c r="E400" s="1" t="str">
        <f>IF(W_カレンダー[[#This Row],[月]]&lt;=3,"Q4",IF(W_カレンダー[[#This Row],[月]]&lt;=6,"Q1",IF(W_カレンダー[[#This Row],[月]]&lt;=9,"Q2","Q3")))</f>
        <v>Q1</v>
      </c>
    </row>
    <row r="401" spans="1:5" ht="18" customHeight="1" x14ac:dyDescent="0.25">
      <c r="A401" s="27">
        <v>45416</v>
      </c>
      <c r="B401" s="29">
        <f>MONTH(W_カレンダー[[#This Row],[日付]])</f>
        <v>5</v>
      </c>
      <c r="C401" s="1">
        <f>YEAR(W_カレンダー[[#This Row],[日付]])</f>
        <v>2024</v>
      </c>
      <c r="D401" s="1">
        <f>IF(W_カレンダー[[#This Row],[月]]&lt;=3,W_カレンダー[[#This Row],[暦年]]-1,W_カレンダー[[#This Row],[暦年]])</f>
        <v>2024</v>
      </c>
      <c r="E401" s="1" t="str">
        <f>IF(W_カレンダー[[#This Row],[月]]&lt;=3,"Q4",IF(W_カレンダー[[#This Row],[月]]&lt;=6,"Q1",IF(W_カレンダー[[#This Row],[月]]&lt;=9,"Q2","Q3")))</f>
        <v>Q1</v>
      </c>
    </row>
    <row r="402" spans="1:5" ht="18" customHeight="1" x14ac:dyDescent="0.25">
      <c r="A402" s="27">
        <v>45417</v>
      </c>
      <c r="B402" s="29">
        <f>MONTH(W_カレンダー[[#This Row],[日付]])</f>
        <v>5</v>
      </c>
      <c r="C402" s="1">
        <f>YEAR(W_カレンダー[[#This Row],[日付]])</f>
        <v>2024</v>
      </c>
      <c r="D402" s="1">
        <f>IF(W_カレンダー[[#This Row],[月]]&lt;=3,W_カレンダー[[#This Row],[暦年]]-1,W_カレンダー[[#This Row],[暦年]])</f>
        <v>2024</v>
      </c>
      <c r="E402" s="1" t="str">
        <f>IF(W_カレンダー[[#This Row],[月]]&lt;=3,"Q4",IF(W_カレンダー[[#This Row],[月]]&lt;=6,"Q1",IF(W_カレンダー[[#This Row],[月]]&lt;=9,"Q2","Q3")))</f>
        <v>Q1</v>
      </c>
    </row>
    <row r="403" spans="1:5" ht="18" customHeight="1" x14ac:dyDescent="0.25">
      <c r="A403" s="27">
        <v>45418</v>
      </c>
      <c r="B403" s="29">
        <f>MONTH(W_カレンダー[[#This Row],[日付]])</f>
        <v>5</v>
      </c>
      <c r="C403" s="1">
        <f>YEAR(W_カレンダー[[#This Row],[日付]])</f>
        <v>2024</v>
      </c>
      <c r="D403" s="1">
        <f>IF(W_カレンダー[[#This Row],[月]]&lt;=3,W_カレンダー[[#This Row],[暦年]]-1,W_カレンダー[[#This Row],[暦年]])</f>
        <v>2024</v>
      </c>
      <c r="E403" s="1" t="str">
        <f>IF(W_カレンダー[[#This Row],[月]]&lt;=3,"Q4",IF(W_カレンダー[[#This Row],[月]]&lt;=6,"Q1",IF(W_カレンダー[[#This Row],[月]]&lt;=9,"Q2","Q3")))</f>
        <v>Q1</v>
      </c>
    </row>
    <row r="404" spans="1:5" ht="18" customHeight="1" x14ac:dyDescent="0.25">
      <c r="A404" s="27">
        <v>45419</v>
      </c>
      <c r="B404" s="29">
        <f>MONTH(W_カレンダー[[#This Row],[日付]])</f>
        <v>5</v>
      </c>
      <c r="C404" s="1">
        <f>YEAR(W_カレンダー[[#This Row],[日付]])</f>
        <v>2024</v>
      </c>
      <c r="D404" s="1">
        <f>IF(W_カレンダー[[#This Row],[月]]&lt;=3,W_カレンダー[[#This Row],[暦年]]-1,W_カレンダー[[#This Row],[暦年]])</f>
        <v>2024</v>
      </c>
      <c r="E404" s="1" t="str">
        <f>IF(W_カレンダー[[#This Row],[月]]&lt;=3,"Q4",IF(W_カレンダー[[#This Row],[月]]&lt;=6,"Q1",IF(W_カレンダー[[#This Row],[月]]&lt;=9,"Q2","Q3")))</f>
        <v>Q1</v>
      </c>
    </row>
    <row r="405" spans="1:5" ht="18" customHeight="1" x14ac:dyDescent="0.25">
      <c r="A405" s="27">
        <v>45420</v>
      </c>
      <c r="B405" s="29">
        <f>MONTH(W_カレンダー[[#This Row],[日付]])</f>
        <v>5</v>
      </c>
      <c r="C405" s="1">
        <f>YEAR(W_カレンダー[[#This Row],[日付]])</f>
        <v>2024</v>
      </c>
      <c r="D405" s="1">
        <f>IF(W_カレンダー[[#This Row],[月]]&lt;=3,W_カレンダー[[#This Row],[暦年]]-1,W_カレンダー[[#This Row],[暦年]])</f>
        <v>2024</v>
      </c>
      <c r="E405" s="1" t="str">
        <f>IF(W_カレンダー[[#This Row],[月]]&lt;=3,"Q4",IF(W_カレンダー[[#This Row],[月]]&lt;=6,"Q1",IF(W_カレンダー[[#This Row],[月]]&lt;=9,"Q2","Q3")))</f>
        <v>Q1</v>
      </c>
    </row>
    <row r="406" spans="1:5" ht="18" customHeight="1" x14ac:dyDescent="0.25">
      <c r="A406" s="27">
        <v>45421</v>
      </c>
      <c r="B406" s="29">
        <f>MONTH(W_カレンダー[[#This Row],[日付]])</f>
        <v>5</v>
      </c>
      <c r="C406" s="1">
        <f>YEAR(W_カレンダー[[#This Row],[日付]])</f>
        <v>2024</v>
      </c>
      <c r="D406" s="1">
        <f>IF(W_カレンダー[[#This Row],[月]]&lt;=3,W_カレンダー[[#This Row],[暦年]]-1,W_カレンダー[[#This Row],[暦年]])</f>
        <v>2024</v>
      </c>
      <c r="E406" s="1" t="str">
        <f>IF(W_カレンダー[[#This Row],[月]]&lt;=3,"Q4",IF(W_カレンダー[[#This Row],[月]]&lt;=6,"Q1",IF(W_カレンダー[[#This Row],[月]]&lt;=9,"Q2","Q3")))</f>
        <v>Q1</v>
      </c>
    </row>
    <row r="407" spans="1:5" ht="18" customHeight="1" x14ac:dyDescent="0.25">
      <c r="A407" s="27">
        <v>45422</v>
      </c>
      <c r="B407" s="29">
        <f>MONTH(W_カレンダー[[#This Row],[日付]])</f>
        <v>5</v>
      </c>
      <c r="C407" s="1">
        <f>YEAR(W_カレンダー[[#This Row],[日付]])</f>
        <v>2024</v>
      </c>
      <c r="D407" s="1">
        <f>IF(W_カレンダー[[#This Row],[月]]&lt;=3,W_カレンダー[[#This Row],[暦年]]-1,W_カレンダー[[#This Row],[暦年]])</f>
        <v>2024</v>
      </c>
      <c r="E407" s="1" t="str">
        <f>IF(W_カレンダー[[#This Row],[月]]&lt;=3,"Q4",IF(W_カレンダー[[#This Row],[月]]&lt;=6,"Q1",IF(W_カレンダー[[#This Row],[月]]&lt;=9,"Q2","Q3")))</f>
        <v>Q1</v>
      </c>
    </row>
    <row r="408" spans="1:5" ht="18" customHeight="1" x14ac:dyDescent="0.25">
      <c r="A408" s="27">
        <v>45423</v>
      </c>
      <c r="B408" s="29">
        <f>MONTH(W_カレンダー[[#This Row],[日付]])</f>
        <v>5</v>
      </c>
      <c r="C408" s="1">
        <f>YEAR(W_カレンダー[[#This Row],[日付]])</f>
        <v>2024</v>
      </c>
      <c r="D408" s="1">
        <f>IF(W_カレンダー[[#This Row],[月]]&lt;=3,W_カレンダー[[#This Row],[暦年]]-1,W_カレンダー[[#This Row],[暦年]])</f>
        <v>2024</v>
      </c>
      <c r="E408" s="1" t="str">
        <f>IF(W_カレンダー[[#This Row],[月]]&lt;=3,"Q4",IF(W_カレンダー[[#This Row],[月]]&lt;=6,"Q1",IF(W_カレンダー[[#This Row],[月]]&lt;=9,"Q2","Q3")))</f>
        <v>Q1</v>
      </c>
    </row>
    <row r="409" spans="1:5" ht="18" customHeight="1" x14ac:dyDescent="0.25">
      <c r="A409" s="27">
        <v>45424</v>
      </c>
      <c r="B409" s="29">
        <f>MONTH(W_カレンダー[[#This Row],[日付]])</f>
        <v>5</v>
      </c>
      <c r="C409" s="1">
        <f>YEAR(W_カレンダー[[#This Row],[日付]])</f>
        <v>2024</v>
      </c>
      <c r="D409" s="1">
        <f>IF(W_カレンダー[[#This Row],[月]]&lt;=3,W_カレンダー[[#This Row],[暦年]]-1,W_カレンダー[[#This Row],[暦年]])</f>
        <v>2024</v>
      </c>
      <c r="E409" s="1" t="str">
        <f>IF(W_カレンダー[[#This Row],[月]]&lt;=3,"Q4",IF(W_カレンダー[[#This Row],[月]]&lt;=6,"Q1",IF(W_カレンダー[[#This Row],[月]]&lt;=9,"Q2","Q3")))</f>
        <v>Q1</v>
      </c>
    </row>
    <row r="410" spans="1:5" ht="18" customHeight="1" x14ac:dyDescent="0.25">
      <c r="A410" s="27">
        <v>45425</v>
      </c>
      <c r="B410" s="29">
        <f>MONTH(W_カレンダー[[#This Row],[日付]])</f>
        <v>5</v>
      </c>
      <c r="C410" s="1">
        <f>YEAR(W_カレンダー[[#This Row],[日付]])</f>
        <v>2024</v>
      </c>
      <c r="D410" s="1">
        <f>IF(W_カレンダー[[#This Row],[月]]&lt;=3,W_カレンダー[[#This Row],[暦年]]-1,W_カレンダー[[#This Row],[暦年]])</f>
        <v>2024</v>
      </c>
      <c r="E410" s="1" t="str">
        <f>IF(W_カレンダー[[#This Row],[月]]&lt;=3,"Q4",IF(W_カレンダー[[#This Row],[月]]&lt;=6,"Q1",IF(W_カレンダー[[#This Row],[月]]&lt;=9,"Q2","Q3")))</f>
        <v>Q1</v>
      </c>
    </row>
    <row r="411" spans="1:5" ht="18" customHeight="1" x14ac:dyDescent="0.25">
      <c r="A411" s="27">
        <v>45426</v>
      </c>
      <c r="B411" s="29">
        <f>MONTH(W_カレンダー[[#This Row],[日付]])</f>
        <v>5</v>
      </c>
      <c r="C411" s="1">
        <f>YEAR(W_カレンダー[[#This Row],[日付]])</f>
        <v>2024</v>
      </c>
      <c r="D411" s="1">
        <f>IF(W_カレンダー[[#This Row],[月]]&lt;=3,W_カレンダー[[#This Row],[暦年]]-1,W_カレンダー[[#This Row],[暦年]])</f>
        <v>2024</v>
      </c>
      <c r="E411" s="1" t="str">
        <f>IF(W_カレンダー[[#This Row],[月]]&lt;=3,"Q4",IF(W_カレンダー[[#This Row],[月]]&lt;=6,"Q1",IF(W_カレンダー[[#This Row],[月]]&lt;=9,"Q2","Q3")))</f>
        <v>Q1</v>
      </c>
    </row>
    <row r="412" spans="1:5" ht="18" customHeight="1" x14ac:dyDescent="0.25">
      <c r="A412" s="27">
        <v>45427</v>
      </c>
      <c r="B412" s="29">
        <f>MONTH(W_カレンダー[[#This Row],[日付]])</f>
        <v>5</v>
      </c>
      <c r="C412" s="1">
        <f>YEAR(W_カレンダー[[#This Row],[日付]])</f>
        <v>2024</v>
      </c>
      <c r="D412" s="1">
        <f>IF(W_カレンダー[[#This Row],[月]]&lt;=3,W_カレンダー[[#This Row],[暦年]]-1,W_カレンダー[[#This Row],[暦年]])</f>
        <v>2024</v>
      </c>
      <c r="E412" s="1" t="str">
        <f>IF(W_カレンダー[[#This Row],[月]]&lt;=3,"Q4",IF(W_カレンダー[[#This Row],[月]]&lt;=6,"Q1",IF(W_カレンダー[[#This Row],[月]]&lt;=9,"Q2","Q3")))</f>
        <v>Q1</v>
      </c>
    </row>
    <row r="413" spans="1:5" ht="18" customHeight="1" x14ac:dyDescent="0.25">
      <c r="A413" s="27">
        <v>45428</v>
      </c>
      <c r="B413" s="29">
        <f>MONTH(W_カレンダー[[#This Row],[日付]])</f>
        <v>5</v>
      </c>
      <c r="C413" s="1">
        <f>YEAR(W_カレンダー[[#This Row],[日付]])</f>
        <v>2024</v>
      </c>
      <c r="D413" s="1">
        <f>IF(W_カレンダー[[#This Row],[月]]&lt;=3,W_カレンダー[[#This Row],[暦年]]-1,W_カレンダー[[#This Row],[暦年]])</f>
        <v>2024</v>
      </c>
      <c r="E413" s="1" t="str">
        <f>IF(W_カレンダー[[#This Row],[月]]&lt;=3,"Q4",IF(W_カレンダー[[#This Row],[月]]&lt;=6,"Q1",IF(W_カレンダー[[#This Row],[月]]&lt;=9,"Q2","Q3")))</f>
        <v>Q1</v>
      </c>
    </row>
    <row r="414" spans="1:5" ht="18" customHeight="1" x14ac:dyDescent="0.25">
      <c r="A414" s="27">
        <v>45429</v>
      </c>
      <c r="B414" s="29">
        <f>MONTH(W_カレンダー[[#This Row],[日付]])</f>
        <v>5</v>
      </c>
      <c r="C414" s="1">
        <f>YEAR(W_カレンダー[[#This Row],[日付]])</f>
        <v>2024</v>
      </c>
      <c r="D414" s="1">
        <f>IF(W_カレンダー[[#This Row],[月]]&lt;=3,W_カレンダー[[#This Row],[暦年]]-1,W_カレンダー[[#This Row],[暦年]])</f>
        <v>2024</v>
      </c>
      <c r="E414" s="1" t="str">
        <f>IF(W_カレンダー[[#This Row],[月]]&lt;=3,"Q4",IF(W_カレンダー[[#This Row],[月]]&lt;=6,"Q1",IF(W_カレンダー[[#This Row],[月]]&lt;=9,"Q2","Q3")))</f>
        <v>Q1</v>
      </c>
    </row>
    <row r="415" spans="1:5" ht="18" customHeight="1" x14ac:dyDescent="0.25">
      <c r="A415" s="27">
        <v>45430</v>
      </c>
      <c r="B415" s="29">
        <f>MONTH(W_カレンダー[[#This Row],[日付]])</f>
        <v>5</v>
      </c>
      <c r="C415" s="1">
        <f>YEAR(W_カレンダー[[#This Row],[日付]])</f>
        <v>2024</v>
      </c>
      <c r="D415" s="1">
        <f>IF(W_カレンダー[[#This Row],[月]]&lt;=3,W_カレンダー[[#This Row],[暦年]]-1,W_カレンダー[[#This Row],[暦年]])</f>
        <v>2024</v>
      </c>
      <c r="E415" s="1" t="str">
        <f>IF(W_カレンダー[[#This Row],[月]]&lt;=3,"Q4",IF(W_カレンダー[[#This Row],[月]]&lt;=6,"Q1",IF(W_カレンダー[[#This Row],[月]]&lt;=9,"Q2","Q3")))</f>
        <v>Q1</v>
      </c>
    </row>
    <row r="416" spans="1:5" ht="18" customHeight="1" x14ac:dyDescent="0.25">
      <c r="A416" s="27">
        <v>45431</v>
      </c>
      <c r="B416" s="29">
        <f>MONTH(W_カレンダー[[#This Row],[日付]])</f>
        <v>5</v>
      </c>
      <c r="C416" s="1">
        <f>YEAR(W_カレンダー[[#This Row],[日付]])</f>
        <v>2024</v>
      </c>
      <c r="D416" s="1">
        <f>IF(W_カレンダー[[#This Row],[月]]&lt;=3,W_カレンダー[[#This Row],[暦年]]-1,W_カレンダー[[#This Row],[暦年]])</f>
        <v>2024</v>
      </c>
      <c r="E416" s="1" t="str">
        <f>IF(W_カレンダー[[#This Row],[月]]&lt;=3,"Q4",IF(W_カレンダー[[#This Row],[月]]&lt;=6,"Q1",IF(W_カレンダー[[#This Row],[月]]&lt;=9,"Q2","Q3")))</f>
        <v>Q1</v>
      </c>
    </row>
    <row r="417" spans="1:5" ht="18" customHeight="1" x14ac:dyDescent="0.25">
      <c r="A417" s="27">
        <v>45432</v>
      </c>
      <c r="B417" s="29">
        <f>MONTH(W_カレンダー[[#This Row],[日付]])</f>
        <v>5</v>
      </c>
      <c r="C417" s="1">
        <f>YEAR(W_カレンダー[[#This Row],[日付]])</f>
        <v>2024</v>
      </c>
      <c r="D417" s="1">
        <f>IF(W_カレンダー[[#This Row],[月]]&lt;=3,W_カレンダー[[#This Row],[暦年]]-1,W_カレンダー[[#This Row],[暦年]])</f>
        <v>2024</v>
      </c>
      <c r="E417" s="1" t="str">
        <f>IF(W_カレンダー[[#This Row],[月]]&lt;=3,"Q4",IF(W_カレンダー[[#This Row],[月]]&lt;=6,"Q1",IF(W_カレンダー[[#This Row],[月]]&lt;=9,"Q2","Q3")))</f>
        <v>Q1</v>
      </c>
    </row>
    <row r="418" spans="1:5" ht="18" customHeight="1" x14ac:dyDescent="0.25">
      <c r="A418" s="27">
        <v>45433</v>
      </c>
      <c r="B418" s="29">
        <f>MONTH(W_カレンダー[[#This Row],[日付]])</f>
        <v>5</v>
      </c>
      <c r="C418" s="1">
        <f>YEAR(W_カレンダー[[#This Row],[日付]])</f>
        <v>2024</v>
      </c>
      <c r="D418" s="1">
        <f>IF(W_カレンダー[[#This Row],[月]]&lt;=3,W_カレンダー[[#This Row],[暦年]]-1,W_カレンダー[[#This Row],[暦年]])</f>
        <v>2024</v>
      </c>
      <c r="E418" s="1" t="str">
        <f>IF(W_カレンダー[[#This Row],[月]]&lt;=3,"Q4",IF(W_カレンダー[[#This Row],[月]]&lt;=6,"Q1",IF(W_カレンダー[[#This Row],[月]]&lt;=9,"Q2","Q3")))</f>
        <v>Q1</v>
      </c>
    </row>
    <row r="419" spans="1:5" ht="18" customHeight="1" x14ac:dyDescent="0.25">
      <c r="A419" s="27">
        <v>45434</v>
      </c>
      <c r="B419" s="29">
        <f>MONTH(W_カレンダー[[#This Row],[日付]])</f>
        <v>5</v>
      </c>
      <c r="C419" s="1">
        <f>YEAR(W_カレンダー[[#This Row],[日付]])</f>
        <v>2024</v>
      </c>
      <c r="D419" s="1">
        <f>IF(W_カレンダー[[#This Row],[月]]&lt;=3,W_カレンダー[[#This Row],[暦年]]-1,W_カレンダー[[#This Row],[暦年]])</f>
        <v>2024</v>
      </c>
      <c r="E419" s="1" t="str">
        <f>IF(W_カレンダー[[#This Row],[月]]&lt;=3,"Q4",IF(W_カレンダー[[#This Row],[月]]&lt;=6,"Q1",IF(W_カレンダー[[#This Row],[月]]&lt;=9,"Q2","Q3")))</f>
        <v>Q1</v>
      </c>
    </row>
    <row r="420" spans="1:5" ht="18" customHeight="1" x14ac:dyDescent="0.25">
      <c r="A420" s="27">
        <v>45435</v>
      </c>
      <c r="B420" s="29">
        <f>MONTH(W_カレンダー[[#This Row],[日付]])</f>
        <v>5</v>
      </c>
      <c r="C420" s="1">
        <f>YEAR(W_カレンダー[[#This Row],[日付]])</f>
        <v>2024</v>
      </c>
      <c r="D420" s="1">
        <f>IF(W_カレンダー[[#This Row],[月]]&lt;=3,W_カレンダー[[#This Row],[暦年]]-1,W_カレンダー[[#This Row],[暦年]])</f>
        <v>2024</v>
      </c>
      <c r="E420" s="1" t="str">
        <f>IF(W_カレンダー[[#This Row],[月]]&lt;=3,"Q4",IF(W_カレンダー[[#This Row],[月]]&lt;=6,"Q1",IF(W_カレンダー[[#This Row],[月]]&lt;=9,"Q2","Q3")))</f>
        <v>Q1</v>
      </c>
    </row>
    <row r="421" spans="1:5" ht="18" customHeight="1" x14ac:dyDescent="0.25">
      <c r="A421" s="27">
        <v>45436</v>
      </c>
      <c r="B421" s="29">
        <f>MONTH(W_カレンダー[[#This Row],[日付]])</f>
        <v>5</v>
      </c>
      <c r="C421" s="1">
        <f>YEAR(W_カレンダー[[#This Row],[日付]])</f>
        <v>2024</v>
      </c>
      <c r="D421" s="1">
        <f>IF(W_カレンダー[[#This Row],[月]]&lt;=3,W_カレンダー[[#This Row],[暦年]]-1,W_カレンダー[[#This Row],[暦年]])</f>
        <v>2024</v>
      </c>
      <c r="E421" s="1" t="str">
        <f>IF(W_カレンダー[[#This Row],[月]]&lt;=3,"Q4",IF(W_カレンダー[[#This Row],[月]]&lt;=6,"Q1",IF(W_カレンダー[[#This Row],[月]]&lt;=9,"Q2","Q3")))</f>
        <v>Q1</v>
      </c>
    </row>
    <row r="422" spans="1:5" ht="18" customHeight="1" x14ac:dyDescent="0.25">
      <c r="A422" s="27">
        <v>45437</v>
      </c>
      <c r="B422" s="29">
        <f>MONTH(W_カレンダー[[#This Row],[日付]])</f>
        <v>5</v>
      </c>
      <c r="C422" s="1">
        <f>YEAR(W_カレンダー[[#This Row],[日付]])</f>
        <v>2024</v>
      </c>
      <c r="D422" s="1">
        <f>IF(W_カレンダー[[#This Row],[月]]&lt;=3,W_カレンダー[[#This Row],[暦年]]-1,W_カレンダー[[#This Row],[暦年]])</f>
        <v>2024</v>
      </c>
      <c r="E422" s="1" t="str">
        <f>IF(W_カレンダー[[#This Row],[月]]&lt;=3,"Q4",IF(W_カレンダー[[#This Row],[月]]&lt;=6,"Q1",IF(W_カレンダー[[#This Row],[月]]&lt;=9,"Q2","Q3")))</f>
        <v>Q1</v>
      </c>
    </row>
    <row r="423" spans="1:5" ht="18" customHeight="1" x14ac:dyDescent="0.25">
      <c r="A423" s="27">
        <v>45438</v>
      </c>
      <c r="B423" s="29">
        <f>MONTH(W_カレンダー[[#This Row],[日付]])</f>
        <v>5</v>
      </c>
      <c r="C423" s="1">
        <f>YEAR(W_カレンダー[[#This Row],[日付]])</f>
        <v>2024</v>
      </c>
      <c r="D423" s="1">
        <f>IF(W_カレンダー[[#This Row],[月]]&lt;=3,W_カレンダー[[#This Row],[暦年]]-1,W_カレンダー[[#This Row],[暦年]])</f>
        <v>2024</v>
      </c>
      <c r="E423" s="1" t="str">
        <f>IF(W_カレンダー[[#This Row],[月]]&lt;=3,"Q4",IF(W_カレンダー[[#This Row],[月]]&lt;=6,"Q1",IF(W_カレンダー[[#This Row],[月]]&lt;=9,"Q2","Q3")))</f>
        <v>Q1</v>
      </c>
    </row>
    <row r="424" spans="1:5" ht="18" customHeight="1" x14ac:dyDescent="0.25">
      <c r="A424" s="27">
        <v>45439</v>
      </c>
      <c r="B424" s="29">
        <f>MONTH(W_カレンダー[[#This Row],[日付]])</f>
        <v>5</v>
      </c>
      <c r="C424" s="1">
        <f>YEAR(W_カレンダー[[#This Row],[日付]])</f>
        <v>2024</v>
      </c>
      <c r="D424" s="1">
        <f>IF(W_カレンダー[[#This Row],[月]]&lt;=3,W_カレンダー[[#This Row],[暦年]]-1,W_カレンダー[[#This Row],[暦年]])</f>
        <v>2024</v>
      </c>
      <c r="E424" s="1" t="str">
        <f>IF(W_カレンダー[[#This Row],[月]]&lt;=3,"Q4",IF(W_カレンダー[[#This Row],[月]]&lt;=6,"Q1",IF(W_カレンダー[[#This Row],[月]]&lt;=9,"Q2","Q3")))</f>
        <v>Q1</v>
      </c>
    </row>
    <row r="425" spans="1:5" ht="18" customHeight="1" x14ac:dyDescent="0.25">
      <c r="A425" s="27">
        <v>45440</v>
      </c>
      <c r="B425" s="29">
        <f>MONTH(W_カレンダー[[#This Row],[日付]])</f>
        <v>5</v>
      </c>
      <c r="C425" s="1">
        <f>YEAR(W_カレンダー[[#This Row],[日付]])</f>
        <v>2024</v>
      </c>
      <c r="D425" s="1">
        <f>IF(W_カレンダー[[#This Row],[月]]&lt;=3,W_カレンダー[[#This Row],[暦年]]-1,W_カレンダー[[#This Row],[暦年]])</f>
        <v>2024</v>
      </c>
      <c r="E425" s="1" t="str">
        <f>IF(W_カレンダー[[#This Row],[月]]&lt;=3,"Q4",IF(W_カレンダー[[#This Row],[月]]&lt;=6,"Q1",IF(W_カレンダー[[#This Row],[月]]&lt;=9,"Q2","Q3")))</f>
        <v>Q1</v>
      </c>
    </row>
    <row r="426" spans="1:5" ht="18" customHeight="1" x14ac:dyDescent="0.25">
      <c r="A426" s="27">
        <v>45441</v>
      </c>
      <c r="B426" s="29">
        <f>MONTH(W_カレンダー[[#This Row],[日付]])</f>
        <v>5</v>
      </c>
      <c r="C426" s="1">
        <f>YEAR(W_カレンダー[[#This Row],[日付]])</f>
        <v>2024</v>
      </c>
      <c r="D426" s="1">
        <f>IF(W_カレンダー[[#This Row],[月]]&lt;=3,W_カレンダー[[#This Row],[暦年]]-1,W_カレンダー[[#This Row],[暦年]])</f>
        <v>2024</v>
      </c>
      <c r="E426" s="1" t="str">
        <f>IF(W_カレンダー[[#This Row],[月]]&lt;=3,"Q4",IF(W_カレンダー[[#This Row],[月]]&lt;=6,"Q1",IF(W_カレンダー[[#This Row],[月]]&lt;=9,"Q2","Q3")))</f>
        <v>Q1</v>
      </c>
    </row>
    <row r="427" spans="1:5" ht="18" customHeight="1" x14ac:dyDescent="0.25">
      <c r="A427" s="27">
        <v>45442</v>
      </c>
      <c r="B427" s="29">
        <f>MONTH(W_カレンダー[[#This Row],[日付]])</f>
        <v>5</v>
      </c>
      <c r="C427" s="1">
        <f>YEAR(W_カレンダー[[#This Row],[日付]])</f>
        <v>2024</v>
      </c>
      <c r="D427" s="1">
        <f>IF(W_カレンダー[[#This Row],[月]]&lt;=3,W_カレンダー[[#This Row],[暦年]]-1,W_カレンダー[[#This Row],[暦年]])</f>
        <v>2024</v>
      </c>
      <c r="E427" s="1" t="str">
        <f>IF(W_カレンダー[[#This Row],[月]]&lt;=3,"Q4",IF(W_カレンダー[[#This Row],[月]]&lt;=6,"Q1",IF(W_カレンダー[[#This Row],[月]]&lt;=9,"Q2","Q3")))</f>
        <v>Q1</v>
      </c>
    </row>
    <row r="428" spans="1:5" ht="18" customHeight="1" x14ac:dyDescent="0.25">
      <c r="A428" s="27">
        <v>45443</v>
      </c>
      <c r="B428" s="29">
        <f>MONTH(W_カレンダー[[#This Row],[日付]])</f>
        <v>5</v>
      </c>
      <c r="C428" s="1">
        <f>YEAR(W_カレンダー[[#This Row],[日付]])</f>
        <v>2024</v>
      </c>
      <c r="D428" s="1">
        <f>IF(W_カレンダー[[#This Row],[月]]&lt;=3,W_カレンダー[[#This Row],[暦年]]-1,W_カレンダー[[#This Row],[暦年]])</f>
        <v>2024</v>
      </c>
      <c r="E428" s="1" t="str">
        <f>IF(W_カレンダー[[#This Row],[月]]&lt;=3,"Q4",IF(W_カレンダー[[#This Row],[月]]&lt;=6,"Q1",IF(W_カレンダー[[#This Row],[月]]&lt;=9,"Q2","Q3")))</f>
        <v>Q1</v>
      </c>
    </row>
    <row r="429" spans="1:5" ht="18" customHeight="1" x14ac:dyDescent="0.25">
      <c r="A429" s="27">
        <v>45444</v>
      </c>
      <c r="B429" s="29">
        <f>MONTH(W_カレンダー[[#This Row],[日付]])</f>
        <v>6</v>
      </c>
      <c r="C429" s="1">
        <f>YEAR(W_カレンダー[[#This Row],[日付]])</f>
        <v>2024</v>
      </c>
      <c r="D429" s="1">
        <f>IF(W_カレンダー[[#This Row],[月]]&lt;=3,W_カレンダー[[#This Row],[暦年]]-1,W_カレンダー[[#This Row],[暦年]])</f>
        <v>2024</v>
      </c>
      <c r="E429" s="1" t="str">
        <f>IF(W_カレンダー[[#This Row],[月]]&lt;=3,"Q4",IF(W_カレンダー[[#This Row],[月]]&lt;=6,"Q1",IF(W_カレンダー[[#This Row],[月]]&lt;=9,"Q2","Q3")))</f>
        <v>Q1</v>
      </c>
    </row>
    <row r="430" spans="1:5" ht="18" customHeight="1" x14ac:dyDescent="0.25">
      <c r="A430" s="27">
        <v>45445</v>
      </c>
      <c r="B430" s="29">
        <f>MONTH(W_カレンダー[[#This Row],[日付]])</f>
        <v>6</v>
      </c>
      <c r="C430" s="1">
        <f>YEAR(W_カレンダー[[#This Row],[日付]])</f>
        <v>2024</v>
      </c>
      <c r="D430" s="1">
        <f>IF(W_カレンダー[[#This Row],[月]]&lt;=3,W_カレンダー[[#This Row],[暦年]]-1,W_カレンダー[[#This Row],[暦年]])</f>
        <v>2024</v>
      </c>
      <c r="E430" s="1" t="str">
        <f>IF(W_カレンダー[[#This Row],[月]]&lt;=3,"Q4",IF(W_カレンダー[[#This Row],[月]]&lt;=6,"Q1",IF(W_カレンダー[[#This Row],[月]]&lt;=9,"Q2","Q3")))</f>
        <v>Q1</v>
      </c>
    </row>
    <row r="431" spans="1:5" ht="18" customHeight="1" x14ac:dyDescent="0.25">
      <c r="A431" s="27">
        <v>45446</v>
      </c>
      <c r="B431" s="29">
        <f>MONTH(W_カレンダー[[#This Row],[日付]])</f>
        <v>6</v>
      </c>
      <c r="C431" s="1">
        <f>YEAR(W_カレンダー[[#This Row],[日付]])</f>
        <v>2024</v>
      </c>
      <c r="D431" s="1">
        <f>IF(W_カレンダー[[#This Row],[月]]&lt;=3,W_カレンダー[[#This Row],[暦年]]-1,W_カレンダー[[#This Row],[暦年]])</f>
        <v>2024</v>
      </c>
      <c r="E431" s="1" t="str">
        <f>IF(W_カレンダー[[#This Row],[月]]&lt;=3,"Q4",IF(W_カレンダー[[#This Row],[月]]&lt;=6,"Q1",IF(W_カレンダー[[#This Row],[月]]&lt;=9,"Q2","Q3")))</f>
        <v>Q1</v>
      </c>
    </row>
    <row r="432" spans="1:5" ht="18" customHeight="1" x14ac:dyDescent="0.25">
      <c r="A432" s="27">
        <v>45447</v>
      </c>
      <c r="B432" s="29">
        <f>MONTH(W_カレンダー[[#This Row],[日付]])</f>
        <v>6</v>
      </c>
      <c r="C432" s="1">
        <f>YEAR(W_カレンダー[[#This Row],[日付]])</f>
        <v>2024</v>
      </c>
      <c r="D432" s="1">
        <f>IF(W_カレンダー[[#This Row],[月]]&lt;=3,W_カレンダー[[#This Row],[暦年]]-1,W_カレンダー[[#This Row],[暦年]])</f>
        <v>2024</v>
      </c>
      <c r="E432" s="1" t="str">
        <f>IF(W_カレンダー[[#This Row],[月]]&lt;=3,"Q4",IF(W_カレンダー[[#This Row],[月]]&lt;=6,"Q1",IF(W_カレンダー[[#This Row],[月]]&lt;=9,"Q2","Q3")))</f>
        <v>Q1</v>
      </c>
    </row>
    <row r="433" spans="1:5" ht="18" customHeight="1" x14ac:dyDescent="0.25">
      <c r="A433" s="27">
        <v>45448</v>
      </c>
      <c r="B433" s="29">
        <f>MONTH(W_カレンダー[[#This Row],[日付]])</f>
        <v>6</v>
      </c>
      <c r="C433" s="1">
        <f>YEAR(W_カレンダー[[#This Row],[日付]])</f>
        <v>2024</v>
      </c>
      <c r="D433" s="1">
        <f>IF(W_カレンダー[[#This Row],[月]]&lt;=3,W_カレンダー[[#This Row],[暦年]]-1,W_カレンダー[[#This Row],[暦年]])</f>
        <v>2024</v>
      </c>
      <c r="E433" s="1" t="str">
        <f>IF(W_カレンダー[[#This Row],[月]]&lt;=3,"Q4",IF(W_カレンダー[[#This Row],[月]]&lt;=6,"Q1",IF(W_カレンダー[[#This Row],[月]]&lt;=9,"Q2","Q3")))</f>
        <v>Q1</v>
      </c>
    </row>
    <row r="434" spans="1:5" ht="18" customHeight="1" x14ac:dyDescent="0.25">
      <c r="A434" s="27">
        <v>45449</v>
      </c>
      <c r="B434" s="29">
        <f>MONTH(W_カレンダー[[#This Row],[日付]])</f>
        <v>6</v>
      </c>
      <c r="C434" s="1">
        <f>YEAR(W_カレンダー[[#This Row],[日付]])</f>
        <v>2024</v>
      </c>
      <c r="D434" s="1">
        <f>IF(W_カレンダー[[#This Row],[月]]&lt;=3,W_カレンダー[[#This Row],[暦年]]-1,W_カレンダー[[#This Row],[暦年]])</f>
        <v>2024</v>
      </c>
      <c r="E434" s="1" t="str">
        <f>IF(W_カレンダー[[#This Row],[月]]&lt;=3,"Q4",IF(W_カレンダー[[#This Row],[月]]&lt;=6,"Q1",IF(W_カレンダー[[#This Row],[月]]&lt;=9,"Q2","Q3")))</f>
        <v>Q1</v>
      </c>
    </row>
    <row r="435" spans="1:5" ht="18" customHeight="1" x14ac:dyDescent="0.25">
      <c r="A435" s="27">
        <v>45450</v>
      </c>
      <c r="B435" s="29">
        <f>MONTH(W_カレンダー[[#This Row],[日付]])</f>
        <v>6</v>
      </c>
      <c r="C435" s="1">
        <f>YEAR(W_カレンダー[[#This Row],[日付]])</f>
        <v>2024</v>
      </c>
      <c r="D435" s="1">
        <f>IF(W_カレンダー[[#This Row],[月]]&lt;=3,W_カレンダー[[#This Row],[暦年]]-1,W_カレンダー[[#This Row],[暦年]])</f>
        <v>2024</v>
      </c>
      <c r="E435" s="1" t="str">
        <f>IF(W_カレンダー[[#This Row],[月]]&lt;=3,"Q4",IF(W_カレンダー[[#This Row],[月]]&lt;=6,"Q1",IF(W_カレンダー[[#This Row],[月]]&lt;=9,"Q2","Q3")))</f>
        <v>Q1</v>
      </c>
    </row>
    <row r="436" spans="1:5" ht="18" customHeight="1" x14ac:dyDescent="0.25">
      <c r="A436" s="27">
        <v>45451</v>
      </c>
      <c r="B436" s="29">
        <f>MONTH(W_カレンダー[[#This Row],[日付]])</f>
        <v>6</v>
      </c>
      <c r="C436" s="1">
        <f>YEAR(W_カレンダー[[#This Row],[日付]])</f>
        <v>2024</v>
      </c>
      <c r="D436" s="1">
        <f>IF(W_カレンダー[[#This Row],[月]]&lt;=3,W_カレンダー[[#This Row],[暦年]]-1,W_カレンダー[[#This Row],[暦年]])</f>
        <v>2024</v>
      </c>
      <c r="E436" s="1" t="str">
        <f>IF(W_カレンダー[[#This Row],[月]]&lt;=3,"Q4",IF(W_カレンダー[[#This Row],[月]]&lt;=6,"Q1",IF(W_カレンダー[[#This Row],[月]]&lt;=9,"Q2","Q3")))</f>
        <v>Q1</v>
      </c>
    </row>
    <row r="437" spans="1:5" ht="18" customHeight="1" x14ac:dyDescent="0.25">
      <c r="A437" s="27">
        <v>45452</v>
      </c>
      <c r="B437" s="29">
        <f>MONTH(W_カレンダー[[#This Row],[日付]])</f>
        <v>6</v>
      </c>
      <c r="C437" s="1">
        <f>YEAR(W_カレンダー[[#This Row],[日付]])</f>
        <v>2024</v>
      </c>
      <c r="D437" s="1">
        <f>IF(W_カレンダー[[#This Row],[月]]&lt;=3,W_カレンダー[[#This Row],[暦年]]-1,W_カレンダー[[#This Row],[暦年]])</f>
        <v>2024</v>
      </c>
      <c r="E437" s="1" t="str">
        <f>IF(W_カレンダー[[#This Row],[月]]&lt;=3,"Q4",IF(W_カレンダー[[#This Row],[月]]&lt;=6,"Q1",IF(W_カレンダー[[#This Row],[月]]&lt;=9,"Q2","Q3")))</f>
        <v>Q1</v>
      </c>
    </row>
    <row r="438" spans="1:5" ht="18" customHeight="1" x14ac:dyDescent="0.25">
      <c r="A438" s="27">
        <v>45453</v>
      </c>
      <c r="B438" s="29">
        <f>MONTH(W_カレンダー[[#This Row],[日付]])</f>
        <v>6</v>
      </c>
      <c r="C438" s="1">
        <f>YEAR(W_カレンダー[[#This Row],[日付]])</f>
        <v>2024</v>
      </c>
      <c r="D438" s="1">
        <f>IF(W_カレンダー[[#This Row],[月]]&lt;=3,W_カレンダー[[#This Row],[暦年]]-1,W_カレンダー[[#This Row],[暦年]])</f>
        <v>2024</v>
      </c>
      <c r="E438" s="1" t="str">
        <f>IF(W_カレンダー[[#This Row],[月]]&lt;=3,"Q4",IF(W_カレンダー[[#This Row],[月]]&lt;=6,"Q1",IF(W_カレンダー[[#This Row],[月]]&lt;=9,"Q2","Q3")))</f>
        <v>Q1</v>
      </c>
    </row>
    <row r="439" spans="1:5" ht="18" customHeight="1" x14ac:dyDescent="0.25">
      <c r="A439" s="27">
        <v>45454</v>
      </c>
      <c r="B439" s="29">
        <f>MONTH(W_カレンダー[[#This Row],[日付]])</f>
        <v>6</v>
      </c>
      <c r="C439" s="1">
        <f>YEAR(W_カレンダー[[#This Row],[日付]])</f>
        <v>2024</v>
      </c>
      <c r="D439" s="1">
        <f>IF(W_カレンダー[[#This Row],[月]]&lt;=3,W_カレンダー[[#This Row],[暦年]]-1,W_カレンダー[[#This Row],[暦年]])</f>
        <v>2024</v>
      </c>
      <c r="E439" s="1" t="str">
        <f>IF(W_カレンダー[[#This Row],[月]]&lt;=3,"Q4",IF(W_カレンダー[[#This Row],[月]]&lt;=6,"Q1",IF(W_カレンダー[[#This Row],[月]]&lt;=9,"Q2","Q3")))</f>
        <v>Q1</v>
      </c>
    </row>
    <row r="440" spans="1:5" ht="18" customHeight="1" x14ac:dyDescent="0.25">
      <c r="A440" s="27">
        <v>45455</v>
      </c>
      <c r="B440" s="29">
        <f>MONTH(W_カレンダー[[#This Row],[日付]])</f>
        <v>6</v>
      </c>
      <c r="C440" s="1">
        <f>YEAR(W_カレンダー[[#This Row],[日付]])</f>
        <v>2024</v>
      </c>
      <c r="D440" s="1">
        <f>IF(W_カレンダー[[#This Row],[月]]&lt;=3,W_カレンダー[[#This Row],[暦年]]-1,W_カレンダー[[#This Row],[暦年]])</f>
        <v>2024</v>
      </c>
      <c r="E440" s="1" t="str">
        <f>IF(W_カレンダー[[#This Row],[月]]&lt;=3,"Q4",IF(W_カレンダー[[#This Row],[月]]&lt;=6,"Q1",IF(W_カレンダー[[#This Row],[月]]&lt;=9,"Q2","Q3")))</f>
        <v>Q1</v>
      </c>
    </row>
    <row r="441" spans="1:5" ht="18" customHeight="1" x14ac:dyDescent="0.25">
      <c r="A441" s="27">
        <v>45456</v>
      </c>
      <c r="B441" s="29">
        <f>MONTH(W_カレンダー[[#This Row],[日付]])</f>
        <v>6</v>
      </c>
      <c r="C441" s="1">
        <f>YEAR(W_カレンダー[[#This Row],[日付]])</f>
        <v>2024</v>
      </c>
      <c r="D441" s="1">
        <f>IF(W_カレンダー[[#This Row],[月]]&lt;=3,W_カレンダー[[#This Row],[暦年]]-1,W_カレンダー[[#This Row],[暦年]])</f>
        <v>2024</v>
      </c>
      <c r="E441" s="1" t="str">
        <f>IF(W_カレンダー[[#This Row],[月]]&lt;=3,"Q4",IF(W_カレンダー[[#This Row],[月]]&lt;=6,"Q1",IF(W_カレンダー[[#This Row],[月]]&lt;=9,"Q2","Q3")))</f>
        <v>Q1</v>
      </c>
    </row>
    <row r="442" spans="1:5" ht="18" customHeight="1" x14ac:dyDescent="0.25">
      <c r="A442" s="27">
        <v>45457</v>
      </c>
      <c r="B442" s="29">
        <f>MONTH(W_カレンダー[[#This Row],[日付]])</f>
        <v>6</v>
      </c>
      <c r="C442" s="1">
        <f>YEAR(W_カレンダー[[#This Row],[日付]])</f>
        <v>2024</v>
      </c>
      <c r="D442" s="1">
        <f>IF(W_カレンダー[[#This Row],[月]]&lt;=3,W_カレンダー[[#This Row],[暦年]]-1,W_カレンダー[[#This Row],[暦年]])</f>
        <v>2024</v>
      </c>
      <c r="E442" s="1" t="str">
        <f>IF(W_カレンダー[[#This Row],[月]]&lt;=3,"Q4",IF(W_カレンダー[[#This Row],[月]]&lt;=6,"Q1",IF(W_カレンダー[[#This Row],[月]]&lt;=9,"Q2","Q3")))</f>
        <v>Q1</v>
      </c>
    </row>
    <row r="443" spans="1:5" ht="18" customHeight="1" x14ac:dyDescent="0.25">
      <c r="A443" s="27">
        <v>45458</v>
      </c>
      <c r="B443" s="29">
        <f>MONTH(W_カレンダー[[#This Row],[日付]])</f>
        <v>6</v>
      </c>
      <c r="C443" s="1">
        <f>YEAR(W_カレンダー[[#This Row],[日付]])</f>
        <v>2024</v>
      </c>
      <c r="D443" s="1">
        <f>IF(W_カレンダー[[#This Row],[月]]&lt;=3,W_カレンダー[[#This Row],[暦年]]-1,W_カレンダー[[#This Row],[暦年]])</f>
        <v>2024</v>
      </c>
      <c r="E443" s="1" t="str">
        <f>IF(W_カレンダー[[#This Row],[月]]&lt;=3,"Q4",IF(W_カレンダー[[#This Row],[月]]&lt;=6,"Q1",IF(W_カレンダー[[#This Row],[月]]&lt;=9,"Q2","Q3")))</f>
        <v>Q1</v>
      </c>
    </row>
    <row r="444" spans="1:5" ht="18" customHeight="1" x14ac:dyDescent="0.25">
      <c r="A444" s="27">
        <v>45459</v>
      </c>
      <c r="B444" s="29">
        <f>MONTH(W_カレンダー[[#This Row],[日付]])</f>
        <v>6</v>
      </c>
      <c r="C444" s="1">
        <f>YEAR(W_カレンダー[[#This Row],[日付]])</f>
        <v>2024</v>
      </c>
      <c r="D444" s="1">
        <f>IF(W_カレンダー[[#This Row],[月]]&lt;=3,W_カレンダー[[#This Row],[暦年]]-1,W_カレンダー[[#This Row],[暦年]])</f>
        <v>2024</v>
      </c>
      <c r="E444" s="1" t="str">
        <f>IF(W_カレンダー[[#This Row],[月]]&lt;=3,"Q4",IF(W_カレンダー[[#This Row],[月]]&lt;=6,"Q1",IF(W_カレンダー[[#This Row],[月]]&lt;=9,"Q2","Q3")))</f>
        <v>Q1</v>
      </c>
    </row>
    <row r="445" spans="1:5" ht="18" customHeight="1" x14ac:dyDescent="0.25">
      <c r="A445" s="27">
        <v>45460</v>
      </c>
      <c r="B445" s="29">
        <f>MONTH(W_カレンダー[[#This Row],[日付]])</f>
        <v>6</v>
      </c>
      <c r="C445" s="1">
        <f>YEAR(W_カレンダー[[#This Row],[日付]])</f>
        <v>2024</v>
      </c>
      <c r="D445" s="1">
        <f>IF(W_カレンダー[[#This Row],[月]]&lt;=3,W_カレンダー[[#This Row],[暦年]]-1,W_カレンダー[[#This Row],[暦年]])</f>
        <v>2024</v>
      </c>
      <c r="E445" s="1" t="str">
        <f>IF(W_カレンダー[[#This Row],[月]]&lt;=3,"Q4",IF(W_カレンダー[[#This Row],[月]]&lt;=6,"Q1",IF(W_カレンダー[[#This Row],[月]]&lt;=9,"Q2","Q3")))</f>
        <v>Q1</v>
      </c>
    </row>
    <row r="446" spans="1:5" ht="18" customHeight="1" x14ac:dyDescent="0.25">
      <c r="A446" s="27">
        <v>45461</v>
      </c>
      <c r="B446" s="29">
        <f>MONTH(W_カレンダー[[#This Row],[日付]])</f>
        <v>6</v>
      </c>
      <c r="C446" s="1">
        <f>YEAR(W_カレンダー[[#This Row],[日付]])</f>
        <v>2024</v>
      </c>
      <c r="D446" s="1">
        <f>IF(W_カレンダー[[#This Row],[月]]&lt;=3,W_カレンダー[[#This Row],[暦年]]-1,W_カレンダー[[#This Row],[暦年]])</f>
        <v>2024</v>
      </c>
      <c r="E446" s="1" t="str">
        <f>IF(W_カレンダー[[#This Row],[月]]&lt;=3,"Q4",IF(W_カレンダー[[#This Row],[月]]&lt;=6,"Q1",IF(W_カレンダー[[#This Row],[月]]&lt;=9,"Q2","Q3")))</f>
        <v>Q1</v>
      </c>
    </row>
    <row r="447" spans="1:5" ht="18" customHeight="1" x14ac:dyDescent="0.25">
      <c r="A447" s="27">
        <v>45462</v>
      </c>
      <c r="B447" s="29">
        <f>MONTH(W_カレンダー[[#This Row],[日付]])</f>
        <v>6</v>
      </c>
      <c r="C447" s="1">
        <f>YEAR(W_カレンダー[[#This Row],[日付]])</f>
        <v>2024</v>
      </c>
      <c r="D447" s="1">
        <f>IF(W_カレンダー[[#This Row],[月]]&lt;=3,W_カレンダー[[#This Row],[暦年]]-1,W_カレンダー[[#This Row],[暦年]])</f>
        <v>2024</v>
      </c>
      <c r="E447" s="1" t="str">
        <f>IF(W_カレンダー[[#This Row],[月]]&lt;=3,"Q4",IF(W_カレンダー[[#This Row],[月]]&lt;=6,"Q1",IF(W_カレンダー[[#This Row],[月]]&lt;=9,"Q2","Q3")))</f>
        <v>Q1</v>
      </c>
    </row>
    <row r="448" spans="1:5" ht="18" customHeight="1" x14ac:dyDescent="0.25">
      <c r="A448" s="27">
        <v>45463</v>
      </c>
      <c r="B448" s="29">
        <f>MONTH(W_カレンダー[[#This Row],[日付]])</f>
        <v>6</v>
      </c>
      <c r="C448" s="1">
        <f>YEAR(W_カレンダー[[#This Row],[日付]])</f>
        <v>2024</v>
      </c>
      <c r="D448" s="1">
        <f>IF(W_カレンダー[[#This Row],[月]]&lt;=3,W_カレンダー[[#This Row],[暦年]]-1,W_カレンダー[[#This Row],[暦年]])</f>
        <v>2024</v>
      </c>
      <c r="E448" s="1" t="str">
        <f>IF(W_カレンダー[[#This Row],[月]]&lt;=3,"Q4",IF(W_カレンダー[[#This Row],[月]]&lt;=6,"Q1",IF(W_カレンダー[[#This Row],[月]]&lt;=9,"Q2","Q3")))</f>
        <v>Q1</v>
      </c>
    </row>
    <row r="449" spans="1:5" ht="18" customHeight="1" x14ac:dyDescent="0.25">
      <c r="A449" s="27">
        <v>45464</v>
      </c>
      <c r="B449" s="29">
        <f>MONTH(W_カレンダー[[#This Row],[日付]])</f>
        <v>6</v>
      </c>
      <c r="C449" s="1">
        <f>YEAR(W_カレンダー[[#This Row],[日付]])</f>
        <v>2024</v>
      </c>
      <c r="D449" s="1">
        <f>IF(W_カレンダー[[#This Row],[月]]&lt;=3,W_カレンダー[[#This Row],[暦年]]-1,W_カレンダー[[#This Row],[暦年]])</f>
        <v>2024</v>
      </c>
      <c r="E449" s="1" t="str">
        <f>IF(W_カレンダー[[#This Row],[月]]&lt;=3,"Q4",IF(W_カレンダー[[#This Row],[月]]&lt;=6,"Q1",IF(W_カレンダー[[#This Row],[月]]&lt;=9,"Q2","Q3")))</f>
        <v>Q1</v>
      </c>
    </row>
    <row r="450" spans="1:5" ht="18" customHeight="1" x14ac:dyDescent="0.25">
      <c r="A450" s="27">
        <v>45465</v>
      </c>
      <c r="B450" s="29">
        <f>MONTH(W_カレンダー[[#This Row],[日付]])</f>
        <v>6</v>
      </c>
      <c r="C450" s="1">
        <f>YEAR(W_カレンダー[[#This Row],[日付]])</f>
        <v>2024</v>
      </c>
      <c r="D450" s="1">
        <f>IF(W_カレンダー[[#This Row],[月]]&lt;=3,W_カレンダー[[#This Row],[暦年]]-1,W_カレンダー[[#This Row],[暦年]])</f>
        <v>2024</v>
      </c>
      <c r="E450" s="1" t="str">
        <f>IF(W_カレンダー[[#This Row],[月]]&lt;=3,"Q4",IF(W_カレンダー[[#This Row],[月]]&lt;=6,"Q1",IF(W_カレンダー[[#This Row],[月]]&lt;=9,"Q2","Q3")))</f>
        <v>Q1</v>
      </c>
    </row>
    <row r="451" spans="1:5" ht="18" customHeight="1" x14ac:dyDescent="0.25">
      <c r="A451" s="27">
        <v>45466</v>
      </c>
      <c r="B451" s="29">
        <f>MONTH(W_カレンダー[[#This Row],[日付]])</f>
        <v>6</v>
      </c>
      <c r="C451" s="1">
        <f>YEAR(W_カレンダー[[#This Row],[日付]])</f>
        <v>2024</v>
      </c>
      <c r="D451" s="1">
        <f>IF(W_カレンダー[[#This Row],[月]]&lt;=3,W_カレンダー[[#This Row],[暦年]]-1,W_カレンダー[[#This Row],[暦年]])</f>
        <v>2024</v>
      </c>
      <c r="E451" s="1" t="str">
        <f>IF(W_カレンダー[[#This Row],[月]]&lt;=3,"Q4",IF(W_カレンダー[[#This Row],[月]]&lt;=6,"Q1",IF(W_カレンダー[[#This Row],[月]]&lt;=9,"Q2","Q3")))</f>
        <v>Q1</v>
      </c>
    </row>
    <row r="452" spans="1:5" ht="18" customHeight="1" x14ac:dyDescent="0.25">
      <c r="A452" s="27">
        <v>45467</v>
      </c>
      <c r="B452" s="29">
        <f>MONTH(W_カレンダー[[#This Row],[日付]])</f>
        <v>6</v>
      </c>
      <c r="C452" s="1">
        <f>YEAR(W_カレンダー[[#This Row],[日付]])</f>
        <v>2024</v>
      </c>
      <c r="D452" s="1">
        <f>IF(W_カレンダー[[#This Row],[月]]&lt;=3,W_カレンダー[[#This Row],[暦年]]-1,W_カレンダー[[#This Row],[暦年]])</f>
        <v>2024</v>
      </c>
      <c r="E452" s="1" t="str">
        <f>IF(W_カレンダー[[#This Row],[月]]&lt;=3,"Q4",IF(W_カレンダー[[#This Row],[月]]&lt;=6,"Q1",IF(W_カレンダー[[#This Row],[月]]&lt;=9,"Q2","Q3")))</f>
        <v>Q1</v>
      </c>
    </row>
    <row r="453" spans="1:5" ht="18" customHeight="1" x14ac:dyDescent="0.25">
      <c r="A453" s="27">
        <v>45468</v>
      </c>
      <c r="B453" s="29">
        <f>MONTH(W_カレンダー[[#This Row],[日付]])</f>
        <v>6</v>
      </c>
      <c r="C453" s="1">
        <f>YEAR(W_カレンダー[[#This Row],[日付]])</f>
        <v>2024</v>
      </c>
      <c r="D453" s="1">
        <f>IF(W_カレンダー[[#This Row],[月]]&lt;=3,W_カレンダー[[#This Row],[暦年]]-1,W_カレンダー[[#This Row],[暦年]])</f>
        <v>2024</v>
      </c>
      <c r="E453" s="1" t="str">
        <f>IF(W_カレンダー[[#This Row],[月]]&lt;=3,"Q4",IF(W_カレンダー[[#This Row],[月]]&lt;=6,"Q1",IF(W_カレンダー[[#This Row],[月]]&lt;=9,"Q2","Q3")))</f>
        <v>Q1</v>
      </c>
    </row>
    <row r="454" spans="1:5" ht="18" customHeight="1" x14ac:dyDescent="0.25">
      <c r="A454" s="27">
        <v>45469</v>
      </c>
      <c r="B454" s="29">
        <f>MONTH(W_カレンダー[[#This Row],[日付]])</f>
        <v>6</v>
      </c>
      <c r="C454" s="1">
        <f>YEAR(W_カレンダー[[#This Row],[日付]])</f>
        <v>2024</v>
      </c>
      <c r="D454" s="1">
        <f>IF(W_カレンダー[[#This Row],[月]]&lt;=3,W_カレンダー[[#This Row],[暦年]]-1,W_カレンダー[[#This Row],[暦年]])</f>
        <v>2024</v>
      </c>
      <c r="E454" s="1" t="str">
        <f>IF(W_カレンダー[[#This Row],[月]]&lt;=3,"Q4",IF(W_カレンダー[[#This Row],[月]]&lt;=6,"Q1",IF(W_カレンダー[[#This Row],[月]]&lt;=9,"Q2","Q3")))</f>
        <v>Q1</v>
      </c>
    </row>
    <row r="455" spans="1:5" ht="18" customHeight="1" x14ac:dyDescent="0.25">
      <c r="A455" s="27">
        <v>45470</v>
      </c>
      <c r="B455" s="29">
        <f>MONTH(W_カレンダー[[#This Row],[日付]])</f>
        <v>6</v>
      </c>
      <c r="C455" s="1">
        <f>YEAR(W_カレンダー[[#This Row],[日付]])</f>
        <v>2024</v>
      </c>
      <c r="D455" s="1">
        <f>IF(W_カレンダー[[#This Row],[月]]&lt;=3,W_カレンダー[[#This Row],[暦年]]-1,W_カレンダー[[#This Row],[暦年]])</f>
        <v>2024</v>
      </c>
      <c r="E455" s="1" t="str">
        <f>IF(W_カレンダー[[#This Row],[月]]&lt;=3,"Q4",IF(W_カレンダー[[#This Row],[月]]&lt;=6,"Q1",IF(W_カレンダー[[#This Row],[月]]&lt;=9,"Q2","Q3")))</f>
        <v>Q1</v>
      </c>
    </row>
    <row r="456" spans="1:5" ht="18" customHeight="1" x14ac:dyDescent="0.25">
      <c r="A456" s="27">
        <v>45471</v>
      </c>
      <c r="B456" s="29">
        <f>MONTH(W_カレンダー[[#This Row],[日付]])</f>
        <v>6</v>
      </c>
      <c r="C456" s="1">
        <f>YEAR(W_カレンダー[[#This Row],[日付]])</f>
        <v>2024</v>
      </c>
      <c r="D456" s="1">
        <f>IF(W_カレンダー[[#This Row],[月]]&lt;=3,W_カレンダー[[#This Row],[暦年]]-1,W_カレンダー[[#This Row],[暦年]])</f>
        <v>2024</v>
      </c>
      <c r="E456" s="1" t="str">
        <f>IF(W_カレンダー[[#This Row],[月]]&lt;=3,"Q4",IF(W_カレンダー[[#This Row],[月]]&lt;=6,"Q1",IF(W_カレンダー[[#This Row],[月]]&lt;=9,"Q2","Q3")))</f>
        <v>Q1</v>
      </c>
    </row>
    <row r="457" spans="1:5" ht="18" customHeight="1" x14ac:dyDescent="0.25">
      <c r="A457" s="27">
        <v>45472</v>
      </c>
      <c r="B457" s="29">
        <f>MONTH(W_カレンダー[[#This Row],[日付]])</f>
        <v>6</v>
      </c>
      <c r="C457" s="1">
        <f>YEAR(W_カレンダー[[#This Row],[日付]])</f>
        <v>2024</v>
      </c>
      <c r="D457" s="1">
        <f>IF(W_カレンダー[[#This Row],[月]]&lt;=3,W_カレンダー[[#This Row],[暦年]]-1,W_カレンダー[[#This Row],[暦年]])</f>
        <v>2024</v>
      </c>
      <c r="E457" s="1" t="str">
        <f>IF(W_カレンダー[[#This Row],[月]]&lt;=3,"Q4",IF(W_カレンダー[[#This Row],[月]]&lt;=6,"Q1",IF(W_カレンダー[[#This Row],[月]]&lt;=9,"Q2","Q3")))</f>
        <v>Q1</v>
      </c>
    </row>
    <row r="458" spans="1:5" ht="18" customHeight="1" x14ac:dyDescent="0.25">
      <c r="A458" s="27">
        <v>45473</v>
      </c>
      <c r="B458" s="29">
        <f>MONTH(W_カレンダー[[#This Row],[日付]])</f>
        <v>6</v>
      </c>
      <c r="C458" s="1">
        <f>YEAR(W_カレンダー[[#This Row],[日付]])</f>
        <v>2024</v>
      </c>
      <c r="D458" s="1">
        <f>IF(W_カレンダー[[#This Row],[月]]&lt;=3,W_カレンダー[[#This Row],[暦年]]-1,W_カレンダー[[#This Row],[暦年]])</f>
        <v>2024</v>
      </c>
      <c r="E458" s="1" t="str">
        <f>IF(W_カレンダー[[#This Row],[月]]&lt;=3,"Q4",IF(W_カレンダー[[#This Row],[月]]&lt;=6,"Q1",IF(W_カレンダー[[#This Row],[月]]&lt;=9,"Q2","Q3")))</f>
        <v>Q1</v>
      </c>
    </row>
    <row r="459" spans="1:5" ht="18" customHeight="1" x14ac:dyDescent="0.25">
      <c r="A459" s="27">
        <v>45474</v>
      </c>
      <c r="B459" s="29">
        <f>MONTH(W_カレンダー[[#This Row],[日付]])</f>
        <v>7</v>
      </c>
      <c r="C459" s="1">
        <f>YEAR(W_カレンダー[[#This Row],[日付]])</f>
        <v>2024</v>
      </c>
      <c r="D459" s="1">
        <f>IF(W_カレンダー[[#This Row],[月]]&lt;=3,W_カレンダー[[#This Row],[暦年]]-1,W_カレンダー[[#This Row],[暦年]])</f>
        <v>2024</v>
      </c>
      <c r="E459" s="1" t="str">
        <f>IF(W_カレンダー[[#This Row],[月]]&lt;=3,"Q4",IF(W_カレンダー[[#This Row],[月]]&lt;=6,"Q1",IF(W_カレンダー[[#This Row],[月]]&lt;=9,"Q2","Q3")))</f>
        <v>Q2</v>
      </c>
    </row>
    <row r="460" spans="1:5" ht="18" customHeight="1" x14ac:dyDescent="0.25">
      <c r="A460" s="27">
        <v>45475</v>
      </c>
      <c r="B460" s="29">
        <f>MONTH(W_カレンダー[[#This Row],[日付]])</f>
        <v>7</v>
      </c>
      <c r="C460" s="1">
        <f>YEAR(W_カレンダー[[#This Row],[日付]])</f>
        <v>2024</v>
      </c>
      <c r="D460" s="1">
        <f>IF(W_カレンダー[[#This Row],[月]]&lt;=3,W_カレンダー[[#This Row],[暦年]]-1,W_カレンダー[[#This Row],[暦年]])</f>
        <v>2024</v>
      </c>
      <c r="E460" s="1" t="str">
        <f>IF(W_カレンダー[[#This Row],[月]]&lt;=3,"Q4",IF(W_カレンダー[[#This Row],[月]]&lt;=6,"Q1",IF(W_カレンダー[[#This Row],[月]]&lt;=9,"Q2","Q3")))</f>
        <v>Q2</v>
      </c>
    </row>
    <row r="461" spans="1:5" ht="18" customHeight="1" x14ac:dyDescent="0.25">
      <c r="A461" s="27">
        <v>45476</v>
      </c>
      <c r="B461" s="29">
        <f>MONTH(W_カレンダー[[#This Row],[日付]])</f>
        <v>7</v>
      </c>
      <c r="C461" s="1">
        <f>YEAR(W_カレンダー[[#This Row],[日付]])</f>
        <v>2024</v>
      </c>
      <c r="D461" s="1">
        <f>IF(W_カレンダー[[#This Row],[月]]&lt;=3,W_カレンダー[[#This Row],[暦年]]-1,W_カレンダー[[#This Row],[暦年]])</f>
        <v>2024</v>
      </c>
      <c r="E461" s="1" t="str">
        <f>IF(W_カレンダー[[#This Row],[月]]&lt;=3,"Q4",IF(W_カレンダー[[#This Row],[月]]&lt;=6,"Q1",IF(W_カレンダー[[#This Row],[月]]&lt;=9,"Q2","Q3")))</f>
        <v>Q2</v>
      </c>
    </row>
    <row r="462" spans="1:5" ht="18" customHeight="1" x14ac:dyDescent="0.25">
      <c r="A462" s="27">
        <v>45477</v>
      </c>
      <c r="B462" s="29">
        <f>MONTH(W_カレンダー[[#This Row],[日付]])</f>
        <v>7</v>
      </c>
      <c r="C462" s="1">
        <f>YEAR(W_カレンダー[[#This Row],[日付]])</f>
        <v>2024</v>
      </c>
      <c r="D462" s="1">
        <f>IF(W_カレンダー[[#This Row],[月]]&lt;=3,W_カレンダー[[#This Row],[暦年]]-1,W_カレンダー[[#This Row],[暦年]])</f>
        <v>2024</v>
      </c>
      <c r="E462" s="1" t="str">
        <f>IF(W_カレンダー[[#This Row],[月]]&lt;=3,"Q4",IF(W_カレンダー[[#This Row],[月]]&lt;=6,"Q1",IF(W_カレンダー[[#This Row],[月]]&lt;=9,"Q2","Q3")))</f>
        <v>Q2</v>
      </c>
    </row>
    <row r="463" spans="1:5" ht="18" customHeight="1" x14ac:dyDescent="0.25">
      <c r="A463" s="27">
        <v>45478</v>
      </c>
      <c r="B463" s="29">
        <f>MONTH(W_カレンダー[[#This Row],[日付]])</f>
        <v>7</v>
      </c>
      <c r="C463" s="1">
        <f>YEAR(W_カレンダー[[#This Row],[日付]])</f>
        <v>2024</v>
      </c>
      <c r="D463" s="1">
        <f>IF(W_カレンダー[[#This Row],[月]]&lt;=3,W_カレンダー[[#This Row],[暦年]]-1,W_カレンダー[[#This Row],[暦年]])</f>
        <v>2024</v>
      </c>
      <c r="E463" s="1" t="str">
        <f>IF(W_カレンダー[[#This Row],[月]]&lt;=3,"Q4",IF(W_カレンダー[[#This Row],[月]]&lt;=6,"Q1",IF(W_カレンダー[[#This Row],[月]]&lt;=9,"Q2","Q3")))</f>
        <v>Q2</v>
      </c>
    </row>
    <row r="464" spans="1:5" ht="18" customHeight="1" x14ac:dyDescent="0.25">
      <c r="A464" s="27">
        <v>45479</v>
      </c>
      <c r="B464" s="29">
        <f>MONTH(W_カレンダー[[#This Row],[日付]])</f>
        <v>7</v>
      </c>
      <c r="C464" s="1">
        <f>YEAR(W_カレンダー[[#This Row],[日付]])</f>
        <v>2024</v>
      </c>
      <c r="D464" s="1">
        <f>IF(W_カレンダー[[#This Row],[月]]&lt;=3,W_カレンダー[[#This Row],[暦年]]-1,W_カレンダー[[#This Row],[暦年]])</f>
        <v>2024</v>
      </c>
      <c r="E464" s="1" t="str">
        <f>IF(W_カレンダー[[#This Row],[月]]&lt;=3,"Q4",IF(W_カレンダー[[#This Row],[月]]&lt;=6,"Q1",IF(W_カレンダー[[#This Row],[月]]&lt;=9,"Q2","Q3")))</f>
        <v>Q2</v>
      </c>
    </row>
    <row r="465" spans="1:5" ht="18" customHeight="1" x14ac:dyDescent="0.25">
      <c r="A465" s="27">
        <v>45480</v>
      </c>
      <c r="B465" s="29">
        <f>MONTH(W_カレンダー[[#This Row],[日付]])</f>
        <v>7</v>
      </c>
      <c r="C465" s="1">
        <f>YEAR(W_カレンダー[[#This Row],[日付]])</f>
        <v>2024</v>
      </c>
      <c r="D465" s="1">
        <f>IF(W_カレンダー[[#This Row],[月]]&lt;=3,W_カレンダー[[#This Row],[暦年]]-1,W_カレンダー[[#This Row],[暦年]])</f>
        <v>2024</v>
      </c>
      <c r="E465" s="1" t="str">
        <f>IF(W_カレンダー[[#This Row],[月]]&lt;=3,"Q4",IF(W_カレンダー[[#This Row],[月]]&lt;=6,"Q1",IF(W_カレンダー[[#This Row],[月]]&lt;=9,"Q2","Q3")))</f>
        <v>Q2</v>
      </c>
    </row>
    <row r="466" spans="1:5" ht="18" customHeight="1" x14ac:dyDescent="0.25">
      <c r="A466" s="27">
        <v>45481</v>
      </c>
      <c r="B466" s="29">
        <f>MONTH(W_カレンダー[[#This Row],[日付]])</f>
        <v>7</v>
      </c>
      <c r="C466" s="1">
        <f>YEAR(W_カレンダー[[#This Row],[日付]])</f>
        <v>2024</v>
      </c>
      <c r="D466" s="1">
        <f>IF(W_カレンダー[[#This Row],[月]]&lt;=3,W_カレンダー[[#This Row],[暦年]]-1,W_カレンダー[[#This Row],[暦年]])</f>
        <v>2024</v>
      </c>
      <c r="E466" s="1" t="str">
        <f>IF(W_カレンダー[[#This Row],[月]]&lt;=3,"Q4",IF(W_カレンダー[[#This Row],[月]]&lt;=6,"Q1",IF(W_カレンダー[[#This Row],[月]]&lt;=9,"Q2","Q3")))</f>
        <v>Q2</v>
      </c>
    </row>
    <row r="467" spans="1:5" ht="18" customHeight="1" x14ac:dyDescent="0.25">
      <c r="A467" s="27">
        <v>45482</v>
      </c>
      <c r="B467" s="29">
        <f>MONTH(W_カレンダー[[#This Row],[日付]])</f>
        <v>7</v>
      </c>
      <c r="C467" s="1">
        <f>YEAR(W_カレンダー[[#This Row],[日付]])</f>
        <v>2024</v>
      </c>
      <c r="D467" s="1">
        <f>IF(W_カレンダー[[#This Row],[月]]&lt;=3,W_カレンダー[[#This Row],[暦年]]-1,W_カレンダー[[#This Row],[暦年]])</f>
        <v>2024</v>
      </c>
      <c r="E467" s="1" t="str">
        <f>IF(W_カレンダー[[#This Row],[月]]&lt;=3,"Q4",IF(W_カレンダー[[#This Row],[月]]&lt;=6,"Q1",IF(W_カレンダー[[#This Row],[月]]&lt;=9,"Q2","Q3")))</f>
        <v>Q2</v>
      </c>
    </row>
    <row r="468" spans="1:5" ht="18" customHeight="1" x14ac:dyDescent="0.25">
      <c r="A468" s="27">
        <v>45483</v>
      </c>
      <c r="B468" s="29">
        <f>MONTH(W_カレンダー[[#This Row],[日付]])</f>
        <v>7</v>
      </c>
      <c r="C468" s="1">
        <f>YEAR(W_カレンダー[[#This Row],[日付]])</f>
        <v>2024</v>
      </c>
      <c r="D468" s="1">
        <f>IF(W_カレンダー[[#This Row],[月]]&lt;=3,W_カレンダー[[#This Row],[暦年]]-1,W_カレンダー[[#This Row],[暦年]])</f>
        <v>2024</v>
      </c>
      <c r="E468" s="1" t="str">
        <f>IF(W_カレンダー[[#This Row],[月]]&lt;=3,"Q4",IF(W_カレンダー[[#This Row],[月]]&lt;=6,"Q1",IF(W_カレンダー[[#This Row],[月]]&lt;=9,"Q2","Q3")))</f>
        <v>Q2</v>
      </c>
    </row>
    <row r="469" spans="1:5" ht="18" customHeight="1" x14ac:dyDescent="0.25">
      <c r="A469" s="27">
        <v>45484</v>
      </c>
      <c r="B469" s="29">
        <f>MONTH(W_カレンダー[[#This Row],[日付]])</f>
        <v>7</v>
      </c>
      <c r="C469" s="1">
        <f>YEAR(W_カレンダー[[#This Row],[日付]])</f>
        <v>2024</v>
      </c>
      <c r="D469" s="1">
        <f>IF(W_カレンダー[[#This Row],[月]]&lt;=3,W_カレンダー[[#This Row],[暦年]]-1,W_カレンダー[[#This Row],[暦年]])</f>
        <v>2024</v>
      </c>
      <c r="E469" s="1" t="str">
        <f>IF(W_カレンダー[[#This Row],[月]]&lt;=3,"Q4",IF(W_カレンダー[[#This Row],[月]]&lt;=6,"Q1",IF(W_カレンダー[[#This Row],[月]]&lt;=9,"Q2","Q3")))</f>
        <v>Q2</v>
      </c>
    </row>
    <row r="470" spans="1:5" ht="18" customHeight="1" x14ac:dyDescent="0.25">
      <c r="A470" s="27">
        <v>45485</v>
      </c>
      <c r="B470" s="29">
        <f>MONTH(W_カレンダー[[#This Row],[日付]])</f>
        <v>7</v>
      </c>
      <c r="C470" s="1">
        <f>YEAR(W_カレンダー[[#This Row],[日付]])</f>
        <v>2024</v>
      </c>
      <c r="D470" s="1">
        <f>IF(W_カレンダー[[#This Row],[月]]&lt;=3,W_カレンダー[[#This Row],[暦年]]-1,W_カレンダー[[#This Row],[暦年]])</f>
        <v>2024</v>
      </c>
      <c r="E470" s="1" t="str">
        <f>IF(W_カレンダー[[#This Row],[月]]&lt;=3,"Q4",IF(W_カレンダー[[#This Row],[月]]&lt;=6,"Q1",IF(W_カレンダー[[#This Row],[月]]&lt;=9,"Q2","Q3")))</f>
        <v>Q2</v>
      </c>
    </row>
    <row r="471" spans="1:5" ht="18" customHeight="1" x14ac:dyDescent="0.25">
      <c r="A471" s="27">
        <v>45486</v>
      </c>
      <c r="B471" s="29">
        <f>MONTH(W_カレンダー[[#This Row],[日付]])</f>
        <v>7</v>
      </c>
      <c r="C471" s="1">
        <f>YEAR(W_カレンダー[[#This Row],[日付]])</f>
        <v>2024</v>
      </c>
      <c r="D471" s="1">
        <f>IF(W_カレンダー[[#This Row],[月]]&lt;=3,W_カレンダー[[#This Row],[暦年]]-1,W_カレンダー[[#This Row],[暦年]])</f>
        <v>2024</v>
      </c>
      <c r="E471" s="1" t="str">
        <f>IF(W_カレンダー[[#This Row],[月]]&lt;=3,"Q4",IF(W_カレンダー[[#This Row],[月]]&lt;=6,"Q1",IF(W_カレンダー[[#This Row],[月]]&lt;=9,"Q2","Q3")))</f>
        <v>Q2</v>
      </c>
    </row>
    <row r="472" spans="1:5" ht="18" customHeight="1" x14ac:dyDescent="0.25">
      <c r="A472" s="27">
        <v>45487</v>
      </c>
      <c r="B472" s="29">
        <f>MONTH(W_カレンダー[[#This Row],[日付]])</f>
        <v>7</v>
      </c>
      <c r="C472" s="1">
        <f>YEAR(W_カレンダー[[#This Row],[日付]])</f>
        <v>2024</v>
      </c>
      <c r="D472" s="1">
        <f>IF(W_カレンダー[[#This Row],[月]]&lt;=3,W_カレンダー[[#This Row],[暦年]]-1,W_カレンダー[[#This Row],[暦年]])</f>
        <v>2024</v>
      </c>
      <c r="E472" s="1" t="str">
        <f>IF(W_カレンダー[[#This Row],[月]]&lt;=3,"Q4",IF(W_カレンダー[[#This Row],[月]]&lt;=6,"Q1",IF(W_カレンダー[[#This Row],[月]]&lt;=9,"Q2","Q3")))</f>
        <v>Q2</v>
      </c>
    </row>
    <row r="473" spans="1:5" ht="18" customHeight="1" x14ac:dyDescent="0.25">
      <c r="A473" s="27">
        <v>45488</v>
      </c>
      <c r="B473" s="29">
        <f>MONTH(W_カレンダー[[#This Row],[日付]])</f>
        <v>7</v>
      </c>
      <c r="C473" s="1">
        <f>YEAR(W_カレンダー[[#This Row],[日付]])</f>
        <v>2024</v>
      </c>
      <c r="D473" s="1">
        <f>IF(W_カレンダー[[#This Row],[月]]&lt;=3,W_カレンダー[[#This Row],[暦年]]-1,W_カレンダー[[#This Row],[暦年]])</f>
        <v>2024</v>
      </c>
      <c r="E473" s="1" t="str">
        <f>IF(W_カレンダー[[#This Row],[月]]&lt;=3,"Q4",IF(W_カレンダー[[#This Row],[月]]&lt;=6,"Q1",IF(W_カレンダー[[#This Row],[月]]&lt;=9,"Q2","Q3")))</f>
        <v>Q2</v>
      </c>
    </row>
    <row r="474" spans="1:5" ht="18" customHeight="1" x14ac:dyDescent="0.25">
      <c r="A474" s="27">
        <v>45489</v>
      </c>
      <c r="B474" s="29">
        <f>MONTH(W_カレンダー[[#This Row],[日付]])</f>
        <v>7</v>
      </c>
      <c r="C474" s="1">
        <f>YEAR(W_カレンダー[[#This Row],[日付]])</f>
        <v>2024</v>
      </c>
      <c r="D474" s="1">
        <f>IF(W_カレンダー[[#This Row],[月]]&lt;=3,W_カレンダー[[#This Row],[暦年]]-1,W_カレンダー[[#This Row],[暦年]])</f>
        <v>2024</v>
      </c>
      <c r="E474" s="1" t="str">
        <f>IF(W_カレンダー[[#This Row],[月]]&lt;=3,"Q4",IF(W_カレンダー[[#This Row],[月]]&lt;=6,"Q1",IF(W_カレンダー[[#This Row],[月]]&lt;=9,"Q2","Q3")))</f>
        <v>Q2</v>
      </c>
    </row>
    <row r="475" spans="1:5" ht="18" customHeight="1" x14ac:dyDescent="0.25">
      <c r="A475" s="27">
        <v>45490</v>
      </c>
      <c r="B475" s="29">
        <f>MONTH(W_カレンダー[[#This Row],[日付]])</f>
        <v>7</v>
      </c>
      <c r="C475" s="1">
        <f>YEAR(W_カレンダー[[#This Row],[日付]])</f>
        <v>2024</v>
      </c>
      <c r="D475" s="1">
        <f>IF(W_カレンダー[[#This Row],[月]]&lt;=3,W_カレンダー[[#This Row],[暦年]]-1,W_カレンダー[[#This Row],[暦年]])</f>
        <v>2024</v>
      </c>
      <c r="E475" s="1" t="str">
        <f>IF(W_カレンダー[[#This Row],[月]]&lt;=3,"Q4",IF(W_カレンダー[[#This Row],[月]]&lt;=6,"Q1",IF(W_カレンダー[[#This Row],[月]]&lt;=9,"Q2","Q3")))</f>
        <v>Q2</v>
      </c>
    </row>
    <row r="476" spans="1:5" ht="18" customHeight="1" x14ac:dyDescent="0.25">
      <c r="A476" s="27">
        <v>45491</v>
      </c>
      <c r="B476" s="29">
        <f>MONTH(W_カレンダー[[#This Row],[日付]])</f>
        <v>7</v>
      </c>
      <c r="C476" s="1">
        <f>YEAR(W_カレンダー[[#This Row],[日付]])</f>
        <v>2024</v>
      </c>
      <c r="D476" s="1">
        <f>IF(W_カレンダー[[#This Row],[月]]&lt;=3,W_カレンダー[[#This Row],[暦年]]-1,W_カレンダー[[#This Row],[暦年]])</f>
        <v>2024</v>
      </c>
      <c r="E476" s="1" t="str">
        <f>IF(W_カレンダー[[#This Row],[月]]&lt;=3,"Q4",IF(W_カレンダー[[#This Row],[月]]&lt;=6,"Q1",IF(W_カレンダー[[#This Row],[月]]&lt;=9,"Q2","Q3")))</f>
        <v>Q2</v>
      </c>
    </row>
    <row r="477" spans="1:5" ht="18" customHeight="1" x14ac:dyDescent="0.25">
      <c r="A477" s="27">
        <v>45492</v>
      </c>
      <c r="B477" s="29">
        <f>MONTH(W_カレンダー[[#This Row],[日付]])</f>
        <v>7</v>
      </c>
      <c r="C477" s="1">
        <f>YEAR(W_カレンダー[[#This Row],[日付]])</f>
        <v>2024</v>
      </c>
      <c r="D477" s="1">
        <f>IF(W_カレンダー[[#This Row],[月]]&lt;=3,W_カレンダー[[#This Row],[暦年]]-1,W_カレンダー[[#This Row],[暦年]])</f>
        <v>2024</v>
      </c>
      <c r="E477" s="1" t="str">
        <f>IF(W_カレンダー[[#This Row],[月]]&lt;=3,"Q4",IF(W_カレンダー[[#This Row],[月]]&lt;=6,"Q1",IF(W_カレンダー[[#This Row],[月]]&lt;=9,"Q2","Q3")))</f>
        <v>Q2</v>
      </c>
    </row>
    <row r="478" spans="1:5" ht="18" customHeight="1" x14ac:dyDescent="0.25">
      <c r="A478" s="27">
        <v>45493</v>
      </c>
      <c r="B478" s="29">
        <f>MONTH(W_カレンダー[[#This Row],[日付]])</f>
        <v>7</v>
      </c>
      <c r="C478" s="1">
        <f>YEAR(W_カレンダー[[#This Row],[日付]])</f>
        <v>2024</v>
      </c>
      <c r="D478" s="1">
        <f>IF(W_カレンダー[[#This Row],[月]]&lt;=3,W_カレンダー[[#This Row],[暦年]]-1,W_カレンダー[[#This Row],[暦年]])</f>
        <v>2024</v>
      </c>
      <c r="E478" s="1" t="str">
        <f>IF(W_カレンダー[[#This Row],[月]]&lt;=3,"Q4",IF(W_カレンダー[[#This Row],[月]]&lt;=6,"Q1",IF(W_カレンダー[[#This Row],[月]]&lt;=9,"Q2","Q3")))</f>
        <v>Q2</v>
      </c>
    </row>
    <row r="479" spans="1:5" ht="18" customHeight="1" x14ac:dyDescent="0.25">
      <c r="A479" s="27">
        <v>45494</v>
      </c>
      <c r="B479" s="29">
        <f>MONTH(W_カレンダー[[#This Row],[日付]])</f>
        <v>7</v>
      </c>
      <c r="C479" s="1">
        <f>YEAR(W_カレンダー[[#This Row],[日付]])</f>
        <v>2024</v>
      </c>
      <c r="D479" s="1">
        <f>IF(W_カレンダー[[#This Row],[月]]&lt;=3,W_カレンダー[[#This Row],[暦年]]-1,W_カレンダー[[#This Row],[暦年]])</f>
        <v>2024</v>
      </c>
      <c r="E479" s="1" t="str">
        <f>IF(W_カレンダー[[#This Row],[月]]&lt;=3,"Q4",IF(W_カレンダー[[#This Row],[月]]&lt;=6,"Q1",IF(W_カレンダー[[#This Row],[月]]&lt;=9,"Q2","Q3")))</f>
        <v>Q2</v>
      </c>
    </row>
    <row r="480" spans="1:5" ht="18" customHeight="1" x14ac:dyDescent="0.25">
      <c r="A480" s="27">
        <v>45495</v>
      </c>
      <c r="B480" s="29">
        <f>MONTH(W_カレンダー[[#This Row],[日付]])</f>
        <v>7</v>
      </c>
      <c r="C480" s="1">
        <f>YEAR(W_カレンダー[[#This Row],[日付]])</f>
        <v>2024</v>
      </c>
      <c r="D480" s="1">
        <f>IF(W_カレンダー[[#This Row],[月]]&lt;=3,W_カレンダー[[#This Row],[暦年]]-1,W_カレンダー[[#This Row],[暦年]])</f>
        <v>2024</v>
      </c>
      <c r="E480" s="1" t="str">
        <f>IF(W_カレンダー[[#This Row],[月]]&lt;=3,"Q4",IF(W_カレンダー[[#This Row],[月]]&lt;=6,"Q1",IF(W_カレンダー[[#This Row],[月]]&lt;=9,"Q2","Q3")))</f>
        <v>Q2</v>
      </c>
    </row>
    <row r="481" spans="1:5" ht="18" customHeight="1" x14ac:dyDescent="0.25">
      <c r="A481" s="27">
        <v>45496</v>
      </c>
      <c r="B481" s="29">
        <f>MONTH(W_カレンダー[[#This Row],[日付]])</f>
        <v>7</v>
      </c>
      <c r="C481" s="1">
        <f>YEAR(W_カレンダー[[#This Row],[日付]])</f>
        <v>2024</v>
      </c>
      <c r="D481" s="1">
        <f>IF(W_カレンダー[[#This Row],[月]]&lt;=3,W_カレンダー[[#This Row],[暦年]]-1,W_カレンダー[[#This Row],[暦年]])</f>
        <v>2024</v>
      </c>
      <c r="E481" s="1" t="str">
        <f>IF(W_カレンダー[[#This Row],[月]]&lt;=3,"Q4",IF(W_カレンダー[[#This Row],[月]]&lt;=6,"Q1",IF(W_カレンダー[[#This Row],[月]]&lt;=9,"Q2","Q3")))</f>
        <v>Q2</v>
      </c>
    </row>
    <row r="482" spans="1:5" ht="18" customHeight="1" x14ac:dyDescent="0.25">
      <c r="A482" s="27">
        <v>45497</v>
      </c>
      <c r="B482" s="29">
        <f>MONTH(W_カレンダー[[#This Row],[日付]])</f>
        <v>7</v>
      </c>
      <c r="C482" s="1">
        <f>YEAR(W_カレンダー[[#This Row],[日付]])</f>
        <v>2024</v>
      </c>
      <c r="D482" s="1">
        <f>IF(W_カレンダー[[#This Row],[月]]&lt;=3,W_カレンダー[[#This Row],[暦年]]-1,W_カレンダー[[#This Row],[暦年]])</f>
        <v>2024</v>
      </c>
      <c r="E482" s="1" t="str">
        <f>IF(W_カレンダー[[#This Row],[月]]&lt;=3,"Q4",IF(W_カレンダー[[#This Row],[月]]&lt;=6,"Q1",IF(W_カレンダー[[#This Row],[月]]&lt;=9,"Q2","Q3")))</f>
        <v>Q2</v>
      </c>
    </row>
    <row r="483" spans="1:5" ht="18" customHeight="1" x14ac:dyDescent="0.25">
      <c r="A483" s="27">
        <v>45498</v>
      </c>
      <c r="B483" s="29">
        <f>MONTH(W_カレンダー[[#This Row],[日付]])</f>
        <v>7</v>
      </c>
      <c r="C483" s="1">
        <f>YEAR(W_カレンダー[[#This Row],[日付]])</f>
        <v>2024</v>
      </c>
      <c r="D483" s="1">
        <f>IF(W_カレンダー[[#This Row],[月]]&lt;=3,W_カレンダー[[#This Row],[暦年]]-1,W_カレンダー[[#This Row],[暦年]])</f>
        <v>2024</v>
      </c>
      <c r="E483" s="1" t="str">
        <f>IF(W_カレンダー[[#This Row],[月]]&lt;=3,"Q4",IF(W_カレンダー[[#This Row],[月]]&lt;=6,"Q1",IF(W_カレンダー[[#This Row],[月]]&lt;=9,"Q2","Q3")))</f>
        <v>Q2</v>
      </c>
    </row>
    <row r="484" spans="1:5" ht="18" customHeight="1" x14ac:dyDescent="0.25">
      <c r="A484" s="27">
        <v>45499</v>
      </c>
      <c r="B484" s="29">
        <f>MONTH(W_カレンダー[[#This Row],[日付]])</f>
        <v>7</v>
      </c>
      <c r="C484" s="1">
        <f>YEAR(W_カレンダー[[#This Row],[日付]])</f>
        <v>2024</v>
      </c>
      <c r="D484" s="1">
        <f>IF(W_カレンダー[[#This Row],[月]]&lt;=3,W_カレンダー[[#This Row],[暦年]]-1,W_カレンダー[[#This Row],[暦年]])</f>
        <v>2024</v>
      </c>
      <c r="E484" s="1" t="str">
        <f>IF(W_カレンダー[[#This Row],[月]]&lt;=3,"Q4",IF(W_カレンダー[[#This Row],[月]]&lt;=6,"Q1",IF(W_カレンダー[[#This Row],[月]]&lt;=9,"Q2","Q3")))</f>
        <v>Q2</v>
      </c>
    </row>
    <row r="485" spans="1:5" ht="18" customHeight="1" x14ac:dyDescent="0.25">
      <c r="A485" s="27">
        <v>45500</v>
      </c>
      <c r="B485" s="29">
        <f>MONTH(W_カレンダー[[#This Row],[日付]])</f>
        <v>7</v>
      </c>
      <c r="C485" s="1">
        <f>YEAR(W_カレンダー[[#This Row],[日付]])</f>
        <v>2024</v>
      </c>
      <c r="D485" s="1">
        <f>IF(W_カレンダー[[#This Row],[月]]&lt;=3,W_カレンダー[[#This Row],[暦年]]-1,W_カレンダー[[#This Row],[暦年]])</f>
        <v>2024</v>
      </c>
      <c r="E485" s="1" t="str">
        <f>IF(W_カレンダー[[#This Row],[月]]&lt;=3,"Q4",IF(W_カレンダー[[#This Row],[月]]&lt;=6,"Q1",IF(W_カレンダー[[#This Row],[月]]&lt;=9,"Q2","Q3")))</f>
        <v>Q2</v>
      </c>
    </row>
    <row r="486" spans="1:5" ht="18" customHeight="1" x14ac:dyDescent="0.25">
      <c r="A486" s="27">
        <v>45501</v>
      </c>
      <c r="B486" s="29">
        <f>MONTH(W_カレンダー[[#This Row],[日付]])</f>
        <v>7</v>
      </c>
      <c r="C486" s="1">
        <f>YEAR(W_カレンダー[[#This Row],[日付]])</f>
        <v>2024</v>
      </c>
      <c r="D486" s="1">
        <f>IF(W_カレンダー[[#This Row],[月]]&lt;=3,W_カレンダー[[#This Row],[暦年]]-1,W_カレンダー[[#This Row],[暦年]])</f>
        <v>2024</v>
      </c>
      <c r="E486" s="1" t="str">
        <f>IF(W_カレンダー[[#This Row],[月]]&lt;=3,"Q4",IF(W_カレンダー[[#This Row],[月]]&lt;=6,"Q1",IF(W_カレンダー[[#This Row],[月]]&lt;=9,"Q2","Q3")))</f>
        <v>Q2</v>
      </c>
    </row>
    <row r="487" spans="1:5" ht="18" customHeight="1" x14ac:dyDescent="0.25">
      <c r="A487" s="27">
        <v>45502</v>
      </c>
      <c r="B487" s="29">
        <f>MONTH(W_カレンダー[[#This Row],[日付]])</f>
        <v>7</v>
      </c>
      <c r="C487" s="1">
        <f>YEAR(W_カレンダー[[#This Row],[日付]])</f>
        <v>2024</v>
      </c>
      <c r="D487" s="1">
        <f>IF(W_カレンダー[[#This Row],[月]]&lt;=3,W_カレンダー[[#This Row],[暦年]]-1,W_カレンダー[[#This Row],[暦年]])</f>
        <v>2024</v>
      </c>
      <c r="E487" s="1" t="str">
        <f>IF(W_カレンダー[[#This Row],[月]]&lt;=3,"Q4",IF(W_カレンダー[[#This Row],[月]]&lt;=6,"Q1",IF(W_カレンダー[[#This Row],[月]]&lt;=9,"Q2","Q3")))</f>
        <v>Q2</v>
      </c>
    </row>
    <row r="488" spans="1:5" ht="18" customHeight="1" x14ac:dyDescent="0.25">
      <c r="A488" s="27">
        <v>45503</v>
      </c>
      <c r="B488" s="29">
        <f>MONTH(W_カレンダー[[#This Row],[日付]])</f>
        <v>7</v>
      </c>
      <c r="C488" s="1">
        <f>YEAR(W_カレンダー[[#This Row],[日付]])</f>
        <v>2024</v>
      </c>
      <c r="D488" s="1">
        <f>IF(W_カレンダー[[#This Row],[月]]&lt;=3,W_カレンダー[[#This Row],[暦年]]-1,W_カレンダー[[#This Row],[暦年]])</f>
        <v>2024</v>
      </c>
      <c r="E488" s="1" t="str">
        <f>IF(W_カレンダー[[#This Row],[月]]&lt;=3,"Q4",IF(W_カレンダー[[#This Row],[月]]&lt;=6,"Q1",IF(W_カレンダー[[#This Row],[月]]&lt;=9,"Q2","Q3")))</f>
        <v>Q2</v>
      </c>
    </row>
    <row r="489" spans="1:5" ht="18" customHeight="1" x14ac:dyDescent="0.25">
      <c r="A489" s="27">
        <v>45504</v>
      </c>
      <c r="B489" s="29">
        <f>MONTH(W_カレンダー[[#This Row],[日付]])</f>
        <v>7</v>
      </c>
      <c r="C489" s="1">
        <f>YEAR(W_カレンダー[[#This Row],[日付]])</f>
        <v>2024</v>
      </c>
      <c r="D489" s="1">
        <f>IF(W_カレンダー[[#This Row],[月]]&lt;=3,W_カレンダー[[#This Row],[暦年]]-1,W_カレンダー[[#This Row],[暦年]])</f>
        <v>2024</v>
      </c>
      <c r="E489" s="1" t="str">
        <f>IF(W_カレンダー[[#This Row],[月]]&lt;=3,"Q4",IF(W_カレンダー[[#This Row],[月]]&lt;=6,"Q1",IF(W_カレンダー[[#This Row],[月]]&lt;=9,"Q2","Q3")))</f>
        <v>Q2</v>
      </c>
    </row>
    <row r="490" spans="1:5" ht="18" customHeight="1" x14ac:dyDescent="0.25">
      <c r="A490" s="27">
        <v>45505</v>
      </c>
      <c r="B490" s="29">
        <f>MONTH(W_カレンダー[[#This Row],[日付]])</f>
        <v>8</v>
      </c>
      <c r="C490" s="1">
        <f>YEAR(W_カレンダー[[#This Row],[日付]])</f>
        <v>2024</v>
      </c>
      <c r="D490" s="1">
        <f>IF(W_カレンダー[[#This Row],[月]]&lt;=3,W_カレンダー[[#This Row],[暦年]]-1,W_カレンダー[[#This Row],[暦年]])</f>
        <v>2024</v>
      </c>
      <c r="E490" s="1" t="str">
        <f>IF(W_カレンダー[[#This Row],[月]]&lt;=3,"Q4",IF(W_カレンダー[[#This Row],[月]]&lt;=6,"Q1",IF(W_カレンダー[[#This Row],[月]]&lt;=9,"Q2","Q3")))</f>
        <v>Q2</v>
      </c>
    </row>
    <row r="491" spans="1:5" ht="18" customHeight="1" x14ac:dyDescent="0.25">
      <c r="A491" s="27">
        <v>45506</v>
      </c>
      <c r="B491" s="29">
        <f>MONTH(W_カレンダー[[#This Row],[日付]])</f>
        <v>8</v>
      </c>
      <c r="C491" s="1">
        <f>YEAR(W_カレンダー[[#This Row],[日付]])</f>
        <v>2024</v>
      </c>
      <c r="D491" s="1">
        <f>IF(W_カレンダー[[#This Row],[月]]&lt;=3,W_カレンダー[[#This Row],[暦年]]-1,W_カレンダー[[#This Row],[暦年]])</f>
        <v>2024</v>
      </c>
      <c r="E491" s="1" t="str">
        <f>IF(W_カレンダー[[#This Row],[月]]&lt;=3,"Q4",IF(W_カレンダー[[#This Row],[月]]&lt;=6,"Q1",IF(W_カレンダー[[#This Row],[月]]&lt;=9,"Q2","Q3")))</f>
        <v>Q2</v>
      </c>
    </row>
    <row r="492" spans="1:5" ht="18" customHeight="1" x14ac:dyDescent="0.25">
      <c r="A492" s="27">
        <v>45507</v>
      </c>
      <c r="B492" s="29">
        <f>MONTH(W_カレンダー[[#This Row],[日付]])</f>
        <v>8</v>
      </c>
      <c r="C492" s="1">
        <f>YEAR(W_カレンダー[[#This Row],[日付]])</f>
        <v>2024</v>
      </c>
      <c r="D492" s="1">
        <f>IF(W_カレンダー[[#This Row],[月]]&lt;=3,W_カレンダー[[#This Row],[暦年]]-1,W_カレンダー[[#This Row],[暦年]])</f>
        <v>2024</v>
      </c>
      <c r="E492" s="1" t="str">
        <f>IF(W_カレンダー[[#This Row],[月]]&lt;=3,"Q4",IF(W_カレンダー[[#This Row],[月]]&lt;=6,"Q1",IF(W_カレンダー[[#This Row],[月]]&lt;=9,"Q2","Q3")))</f>
        <v>Q2</v>
      </c>
    </row>
    <row r="493" spans="1:5" ht="18" customHeight="1" x14ac:dyDescent="0.25">
      <c r="A493" s="27">
        <v>45508</v>
      </c>
      <c r="B493" s="29">
        <f>MONTH(W_カレンダー[[#This Row],[日付]])</f>
        <v>8</v>
      </c>
      <c r="C493" s="1">
        <f>YEAR(W_カレンダー[[#This Row],[日付]])</f>
        <v>2024</v>
      </c>
      <c r="D493" s="1">
        <f>IF(W_カレンダー[[#This Row],[月]]&lt;=3,W_カレンダー[[#This Row],[暦年]]-1,W_カレンダー[[#This Row],[暦年]])</f>
        <v>2024</v>
      </c>
      <c r="E493" s="1" t="str">
        <f>IF(W_カレンダー[[#This Row],[月]]&lt;=3,"Q4",IF(W_カレンダー[[#This Row],[月]]&lt;=6,"Q1",IF(W_カレンダー[[#This Row],[月]]&lt;=9,"Q2","Q3")))</f>
        <v>Q2</v>
      </c>
    </row>
    <row r="494" spans="1:5" ht="18" customHeight="1" x14ac:dyDescent="0.25">
      <c r="A494" s="27">
        <v>45509</v>
      </c>
      <c r="B494" s="29">
        <f>MONTH(W_カレンダー[[#This Row],[日付]])</f>
        <v>8</v>
      </c>
      <c r="C494" s="1">
        <f>YEAR(W_カレンダー[[#This Row],[日付]])</f>
        <v>2024</v>
      </c>
      <c r="D494" s="1">
        <f>IF(W_カレンダー[[#This Row],[月]]&lt;=3,W_カレンダー[[#This Row],[暦年]]-1,W_カレンダー[[#This Row],[暦年]])</f>
        <v>2024</v>
      </c>
      <c r="E494" s="1" t="str">
        <f>IF(W_カレンダー[[#This Row],[月]]&lt;=3,"Q4",IF(W_カレンダー[[#This Row],[月]]&lt;=6,"Q1",IF(W_カレンダー[[#This Row],[月]]&lt;=9,"Q2","Q3")))</f>
        <v>Q2</v>
      </c>
    </row>
    <row r="495" spans="1:5" ht="18" customHeight="1" x14ac:dyDescent="0.25">
      <c r="A495" s="27">
        <v>45510</v>
      </c>
      <c r="B495" s="29">
        <f>MONTH(W_カレンダー[[#This Row],[日付]])</f>
        <v>8</v>
      </c>
      <c r="C495" s="1">
        <f>YEAR(W_カレンダー[[#This Row],[日付]])</f>
        <v>2024</v>
      </c>
      <c r="D495" s="1">
        <f>IF(W_カレンダー[[#This Row],[月]]&lt;=3,W_カレンダー[[#This Row],[暦年]]-1,W_カレンダー[[#This Row],[暦年]])</f>
        <v>2024</v>
      </c>
      <c r="E495" s="1" t="str">
        <f>IF(W_カレンダー[[#This Row],[月]]&lt;=3,"Q4",IF(W_カレンダー[[#This Row],[月]]&lt;=6,"Q1",IF(W_カレンダー[[#This Row],[月]]&lt;=9,"Q2","Q3")))</f>
        <v>Q2</v>
      </c>
    </row>
    <row r="496" spans="1:5" ht="18" customHeight="1" x14ac:dyDescent="0.25">
      <c r="A496" s="27">
        <v>45511</v>
      </c>
      <c r="B496" s="29">
        <f>MONTH(W_カレンダー[[#This Row],[日付]])</f>
        <v>8</v>
      </c>
      <c r="C496" s="1">
        <f>YEAR(W_カレンダー[[#This Row],[日付]])</f>
        <v>2024</v>
      </c>
      <c r="D496" s="1">
        <f>IF(W_カレンダー[[#This Row],[月]]&lt;=3,W_カレンダー[[#This Row],[暦年]]-1,W_カレンダー[[#This Row],[暦年]])</f>
        <v>2024</v>
      </c>
      <c r="E496" s="1" t="str">
        <f>IF(W_カレンダー[[#This Row],[月]]&lt;=3,"Q4",IF(W_カレンダー[[#This Row],[月]]&lt;=6,"Q1",IF(W_カレンダー[[#This Row],[月]]&lt;=9,"Q2","Q3")))</f>
        <v>Q2</v>
      </c>
    </row>
    <row r="497" spans="1:5" ht="18" customHeight="1" x14ac:dyDescent="0.25">
      <c r="A497" s="27">
        <v>45512</v>
      </c>
      <c r="B497" s="29">
        <f>MONTH(W_カレンダー[[#This Row],[日付]])</f>
        <v>8</v>
      </c>
      <c r="C497" s="1">
        <f>YEAR(W_カレンダー[[#This Row],[日付]])</f>
        <v>2024</v>
      </c>
      <c r="D497" s="1">
        <f>IF(W_カレンダー[[#This Row],[月]]&lt;=3,W_カレンダー[[#This Row],[暦年]]-1,W_カレンダー[[#This Row],[暦年]])</f>
        <v>2024</v>
      </c>
      <c r="E497" s="1" t="str">
        <f>IF(W_カレンダー[[#This Row],[月]]&lt;=3,"Q4",IF(W_カレンダー[[#This Row],[月]]&lt;=6,"Q1",IF(W_カレンダー[[#This Row],[月]]&lt;=9,"Q2","Q3")))</f>
        <v>Q2</v>
      </c>
    </row>
    <row r="498" spans="1:5" ht="18" customHeight="1" x14ac:dyDescent="0.25">
      <c r="A498" s="27">
        <v>45513</v>
      </c>
      <c r="B498" s="29">
        <f>MONTH(W_カレンダー[[#This Row],[日付]])</f>
        <v>8</v>
      </c>
      <c r="C498" s="1">
        <f>YEAR(W_カレンダー[[#This Row],[日付]])</f>
        <v>2024</v>
      </c>
      <c r="D498" s="1">
        <f>IF(W_カレンダー[[#This Row],[月]]&lt;=3,W_カレンダー[[#This Row],[暦年]]-1,W_カレンダー[[#This Row],[暦年]])</f>
        <v>2024</v>
      </c>
      <c r="E498" s="1" t="str">
        <f>IF(W_カレンダー[[#This Row],[月]]&lt;=3,"Q4",IF(W_カレンダー[[#This Row],[月]]&lt;=6,"Q1",IF(W_カレンダー[[#This Row],[月]]&lt;=9,"Q2","Q3")))</f>
        <v>Q2</v>
      </c>
    </row>
    <row r="499" spans="1:5" ht="18" customHeight="1" x14ac:dyDescent="0.25">
      <c r="A499" s="27">
        <v>45514</v>
      </c>
      <c r="B499" s="29">
        <f>MONTH(W_カレンダー[[#This Row],[日付]])</f>
        <v>8</v>
      </c>
      <c r="C499" s="1">
        <f>YEAR(W_カレンダー[[#This Row],[日付]])</f>
        <v>2024</v>
      </c>
      <c r="D499" s="1">
        <f>IF(W_カレンダー[[#This Row],[月]]&lt;=3,W_カレンダー[[#This Row],[暦年]]-1,W_カレンダー[[#This Row],[暦年]])</f>
        <v>2024</v>
      </c>
      <c r="E499" s="1" t="str">
        <f>IF(W_カレンダー[[#This Row],[月]]&lt;=3,"Q4",IF(W_カレンダー[[#This Row],[月]]&lt;=6,"Q1",IF(W_カレンダー[[#This Row],[月]]&lt;=9,"Q2","Q3")))</f>
        <v>Q2</v>
      </c>
    </row>
    <row r="500" spans="1:5" ht="18" customHeight="1" x14ac:dyDescent="0.25">
      <c r="A500" s="27">
        <v>45515</v>
      </c>
      <c r="B500" s="29">
        <f>MONTH(W_カレンダー[[#This Row],[日付]])</f>
        <v>8</v>
      </c>
      <c r="C500" s="1">
        <f>YEAR(W_カレンダー[[#This Row],[日付]])</f>
        <v>2024</v>
      </c>
      <c r="D500" s="1">
        <f>IF(W_カレンダー[[#This Row],[月]]&lt;=3,W_カレンダー[[#This Row],[暦年]]-1,W_カレンダー[[#This Row],[暦年]])</f>
        <v>2024</v>
      </c>
      <c r="E500" s="1" t="str">
        <f>IF(W_カレンダー[[#This Row],[月]]&lt;=3,"Q4",IF(W_カレンダー[[#This Row],[月]]&lt;=6,"Q1",IF(W_カレンダー[[#This Row],[月]]&lt;=9,"Q2","Q3")))</f>
        <v>Q2</v>
      </c>
    </row>
    <row r="501" spans="1:5" ht="18" customHeight="1" x14ac:dyDescent="0.25">
      <c r="A501" s="27">
        <v>45516</v>
      </c>
      <c r="B501" s="29">
        <f>MONTH(W_カレンダー[[#This Row],[日付]])</f>
        <v>8</v>
      </c>
      <c r="C501" s="1">
        <f>YEAR(W_カレンダー[[#This Row],[日付]])</f>
        <v>2024</v>
      </c>
      <c r="D501" s="1">
        <f>IF(W_カレンダー[[#This Row],[月]]&lt;=3,W_カレンダー[[#This Row],[暦年]]-1,W_カレンダー[[#This Row],[暦年]])</f>
        <v>2024</v>
      </c>
      <c r="E501" s="1" t="str">
        <f>IF(W_カレンダー[[#This Row],[月]]&lt;=3,"Q4",IF(W_カレンダー[[#This Row],[月]]&lt;=6,"Q1",IF(W_カレンダー[[#This Row],[月]]&lt;=9,"Q2","Q3")))</f>
        <v>Q2</v>
      </c>
    </row>
    <row r="502" spans="1:5" ht="18" customHeight="1" x14ac:dyDescent="0.25">
      <c r="A502" s="27">
        <v>45517</v>
      </c>
      <c r="B502" s="29">
        <f>MONTH(W_カレンダー[[#This Row],[日付]])</f>
        <v>8</v>
      </c>
      <c r="C502" s="1">
        <f>YEAR(W_カレンダー[[#This Row],[日付]])</f>
        <v>2024</v>
      </c>
      <c r="D502" s="1">
        <f>IF(W_カレンダー[[#This Row],[月]]&lt;=3,W_カレンダー[[#This Row],[暦年]]-1,W_カレンダー[[#This Row],[暦年]])</f>
        <v>2024</v>
      </c>
      <c r="E502" s="1" t="str">
        <f>IF(W_カレンダー[[#This Row],[月]]&lt;=3,"Q4",IF(W_カレンダー[[#This Row],[月]]&lt;=6,"Q1",IF(W_カレンダー[[#This Row],[月]]&lt;=9,"Q2","Q3")))</f>
        <v>Q2</v>
      </c>
    </row>
    <row r="503" spans="1:5" ht="18" customHeight="1" x14ac:dyDescent="0.25">
      <c r="A503" s="27">
        <v>45518</v>
      </c>
      <c r="B503" s="29">
        <f>MONTH(W_カレンダー[[#This Row],[日付]])</f>
        <v>8</v>
      </c>
      <c r="C503" s="1">
        <f>YEAR(W_カレンダー[[#This Row],[日付]])</f>
        <v>2024</v>
      </c>
      <c r="D503" s="1">
        <f>IF(W_カレンダー[[#This Row],[月]]&lt;=3,W_カレンダー[[#This Row],[暦年]]-1,W_カレンダー[[#This Row],[暦年]])</f>
        <v>2024</v>
      </c>
      <c r="E503" s="1" t="str">
        <f>IF(W_カレンダー[[#This Row],[月]]&lt;=3,"Q4",IF(W_カレンダー[[#This Row],[月]]&lt;=6,"Q1",IF(W_カレンダー[[#This Row],[月]]&lt;=9,"Q2","Q3")))</f>
        <v>Q2</v>
      </c>
    </row>
    <row r="504" spans="1:5" ht="18" customHeight="1" x14ac:dyDescent="0.25">
      <c r="A504" s="27">
        <v>45519</v>
      </c>
      <c r="B504" s="29">
        <f>MONTH(W_カレンダー[[#This Row],[日付]])</f>
        <v>8</v>
      </c>
      <c r="C504" s="1">
        <f>YEAR(W_カレンダー[[#This Row],[日付]])</f>
        <v>2024</v>
      </c>
      <c r="D504" s="1">
        <f>IF(W_カレンダー[[#This Row],[月]]&lt;=3,W_カレンダー[[#This Row],[暦年]]-1,W_カレンダー[[#This Row],[暦年]])</f>
        <v>2024</v>
      </c>
      <c r="E504" s="1" t="str">
        <f>IF(W_カレンダー[[#This Row],[月]]&lt;=3,"Q4",IF(W_カレンダー[[#This Row],[月]]&lt;=6,"Q1",IF(W_カレンダー[[#This Row],[月]]&lt;=9,"Q2","Q3")))</f>
        <v>Q2</v>
      </c>
    </row>
    <row r="505" spans="1:5" ht="18" customHeight="1" x14ac:dyDescent="0.25">
      <c r="A505" s="27">
        <v>45520</v>
      </c>
      <c r="B505" s="29">
        <f>MONTH(W_カレンダー[[#This Row],[日付]])</f>
        <v>8</v>
      </c>
      <c r="C505" s="1">
        <f>YEAR(W_カレンダー[[#This Row],[日付]])</f>
        <v>2024</v>
      </c>
      <c r="D505" s="1">
        <f>IF(W_カレンダー[[#This Row],[月]]&lt;=3,W_カレンダー[[#This Row],[暦年]]-1,W_カレンダー[[#This Row],[暦年]])</f>
        <v>2024</v>
      </c>
      <c r="E505" s="1" t="str">
        <f>IF(W_カレンダー[[#This Row],[月]]&lt;=3,"Q4",IF(W_カレンダー[[#This Row],[月]]&lt;=6,"Q1",IF(W_カレンダー[[#This Row],[月]]&lt;=9,"Q2","Q3")))</f>
        <v>Q2</v>
      </c>
    </row>
    <row r="506" spans="1:5" ht="18" customHeight="1" x14ac:dyDescent="0.25">
      <c r="A506" s="27">
        <v>45521</v>
      </c>
      <c r="B506" s="29">
        <f>MONTH(W_カレンダー[[#This Row],[日付]])</f>
        <v>8</v>
      </c>
      <c r="C506" s="1">
        <f>YEAR(W_カレンダー[[#This Row],[日付]])</f>
        <v>2024</v>
      </c>
      <c r="D506" s="1">
        <f>IF(W_カレンダー[[#This Row],[月]]&lt;=3,W_カレンダー[[#This Row],[暦年]]-1,W_カレンダー[[#This Row],[暦年]])</f>
        <v>2024</v>
      </c>
      <c r="E506" s="1" t="str">
        <f>IF(W_カレンダー[[#This Row],[月]]&lt;=3,"Q4",IF(W_カレンダー[[#This Row],[月]]&lt;=6,"Q1",IF(W_カレンダー[[#This Row],[月]]&lt;=9,"Q2","Q3")))</f>
        <v>Q2</v>
      </c>
    </row>
    <row r="507" spans="1:5" ht="18" customHeight="1" x14ac:dyDescent="0.25">
      <c r="A507" s="27">
        <v>45522</v>
      </c>
      <c r="B507" s="29">
        <f>MONTH(W_カレンダー[[#This Row],[日付]])</f>
        <v>8</v>
      </c>
      <c r="C507" s="1">
        <f>YEAR(W_カレンダー[[#This Row],[日付]])</f>
        <v>2024</v>
      </c>
      <c r="D507" s="1">
        <f>IF(W_カレンダー[[#This Row],[月]]&lt;=3,W_カレンダー[[#This Row],[暦年]]-1,W_カレンダー[[#This Row],[暦年]])</f>
        <v>2024</v>
      </c>
      <c r="E507" s="1" t="str">
        <f>IF(W_カレンダー[[#This Row],[月]]&lt;=3,"Q4",IF(W_カレンダー[[#This Row],[月]]&lt;=6,"Q1",IF(W_カレンダー[[#This Row],[月]]&lt;=9,"Q2","Q3")))</f>
        <v>Q2</v>
      </c>
    </row>
    <row r="508" spans="1:5" ht="18" customHeight="1" x14ac:dyDescent="0.25">
      <c r="A508" s="27">
        <v>45523</v>
      </c>
      <c r="B508" s="29">
        <f>MONTH(W_カレンダー[[#This Row],[日付]])</f>
        <v>8</v>
      </c>
      <c r="C508" s="1">
        <f>YEAR(W_カレンダー[[#This Row],[日付]])</f>
        <v>2024</v>
      </c>
      <c r="D508" s="1">
        <f>IF(W_カレンダー[[#This Row],[月]]&lt;=3,W_カレンダー[[#This Row],[暦年]]-1,W_カレンダー[[#This Row],[暦年]])</f>
        <v>2024</v>
      </c>
      <c r="E508" s="1" t="str">
        <f>IF(W_カレンダー[[#This Row],[月]]&lt;=3,"Q4",IF(W_カレンダー[[#This Row],[月]]&lt;=6,"Q1",IF(W_カレンダー[[#This Row],[月]]&lt;=9,"Q2","Q3")))</f>
        <v>Q2</v>
      </c>
    </row>
    <row r="509" spans="1:5" ht="18" customHeight="1" x14ac:dyDescent="0.25">
      <c r="A509" s="27">
        <v>45524</v>
      </c>
      <c r="B509" s="29">
        <f>MONTH(W_カレンダー[[#This Row],[日付]])</f>
        <v>8</v>
      </c>
      <c r="C509" s="1">
        <f>YEAR(W_カレンダー[[#This Row],[日付]])</f>
        <v>2024</v>
      </c>
      <c r="D509" s="1">
        <f>IF(W_カレンダー[[#This Row],[月]]&lt;=3,W_カレンダー[[#This Row],[暦年]]-1,W_カレンダー[[#This Row],[暦年]])</f>
        <v>2024</v>
      </c>
      <c r="E509" s="1" t="str">
        <f>IF(W_カレンダー[[#This Row],[月]]&lt;=3,"Q4",IF(W_カレンダー[[#This Row],[月]]&lt;=6,"Q1",IF(W_カレンダー[[#This Row],[月]]&lt;=9,"Q2","Q3")))</f>
        <v>Q2</v>
      </c>
    </row>
    <row r="510" spans="1:5" ht="18" customHeight="1" x14ac:dyDescent="0.25">
      <c r="A510" s="27">
        <v>45525</v>
      </c>
      <c r="B510" s="29">
        <f>MONTH(W_カレンダー[[#This Row],[日付]])</f>
        <v>8</v>
      </c>
      <c r="C510" s="1">
        <f>YEAR(W_カレンダー[[#This Row],[日付]])</f>
        <v>2024</v>
      </c>
      <c r="D510" s="1">
        <f>IF(W_カレンダー[[#This Row],[月]]&lt;=3,W_カレンダー[[#This Row],[暦年]]-1,W_カレンダー[[#This Row],[暦年]])</f>
        <v>2024</v>
      </c>
      <c r="E510" s="1" t="str">
        <f>IF(W_カレンダー[[#This Row],[月]]&lt;=3,"Q4",IF(W_カレンダー[[#This Row],[月]]&lt;=6,"Q1",IF(W_カレンダー[[#This Row],[月]]&lt;=9,"Q2","Q3")))</f>
        <v>Q2</v>
      </c>
    </row>
    <row r="511" spans="1:5" ht="18" customHeight="1" x14ac:dyDescent="0.25">
      <c r="A511" s="27">
        <v>45526</v>
      </c>
      <c r="B511" s="29">
        <f>MONTH(W_カレンダー[[#This Row],[日付]])</f>
        <v>8</v>
      </c>
      <c r="C511" s="1">
        <f>YEAR(W_カレンダー[[#This Row],[日付]])</f>
        <v>2024</v>
      </c>
      <c r="D511" s="1">
        <f>IF(W_カレンダー[[#This Row],[月]]&lt;=3,W_カレンダー[[#This Row],[暦年]]-1,W_カレンダー[[#This Row],[暦年]])</f>
        <v>2024</v>
      </c>
      <c r="E511" s="1" t="str">
        <f>IF(W_カレンダー[[#This Row],[月]]&lt;=3,"Q4",IF(W_カレンダー[[#This Row],[月]]&lt;=6,"Q1",IF(W_カレンダー[[#This Row],[月]]&lt;=9,"Q2","Q3")))</f>
        <v>Q2</v>
      </c>
    </row>
    <row r="512" spans="1:5" ht="18" customHeight="1" x14ac:dyDescent="0.25">
      <c r="A512" s="27">
        <v>45527</v>
      </c>
      <c r="B512" s="29">
        <f>MONTH(W_カレンダー[[#This Row],[日付]])</f>
        <v>8</v>
      </c>
      <c r="C512" s="1">
        <f>YEAR(W_カレンダー[[#This Row],[日付]])</f>
        <v>2024</v>
      </c>
      <c r="D512" s="1">
        <f>IF(W_カレンダー[[#This Row],[月]]&lt;=3,W_カレンダー[[#This Row],[暦年]]-1,W_カレンダー[[#This Row],[暦年]])</f>
        <v>2024</v>
      </c>
      <c r="E512" s="1" t="str">
        <f>IF(W_カレンダー[[#This Row],[月]]&lt;=3,"Q4",IF(W_カレンダー[[#This Row],[月]]&lt;=6,"Q1",IF(W_カレンダー[[#This Row],[月]]&lt;=9,"Q2","Q3")))</f>
        <v>Q2</v>
      </c>
    </row>
    <row r="513" spans="1:5" ht="18" customHeight="1" x14ac:dyDescent="0.25">
      <c r="A513" s="27">
        <v>45528</v>
      </c>
      <c r="B513" s="29">
        <f>MONTH(W_カレンダー[[#This Row],[日付]])</f>
        <v>8</v>
      </c>
      <c r="C513" s="1">
        <f>YEAR(W_カレンダー[[#This Row],[日付]])</f>
        <v>2024</v>
      </c>
      <c r="D513" s="1">
        <f>IF(W_カレンダー[[#This Row],[月]]&lt;=3,W_カレンダー[[#This Row],[暦年]]-1,W_カレンダー[[#This Row],[暦年]])</f>
        <v>2024</v>
      </c>
      <c r="E513" s="1" t="str">
        <f>IF(W_カレンダー[[#This Row],[月]]&lt;=3,"Q4",IF(W_カレンダー[[#This Row],[月]]&lt;=6,"Q1",IF(W_カレンダー[[#This Row],[月]]&lt;=9,"Q2","Q3")))</f>
        <v>Q2</v>
      </c>
    </row>
    <row r="514" spans="1:5" ht="18" customHeight="1" x14ac:dyDescent="0.25">
      <c r="A514" s="27">
        <v>45529</v>
      </c>
      <c r="B514" s="29">
        <f>MONTH(W_カレンダー[[#This Row],[日付]])</f>
        <v>8</v>
      </c>
      <c r="C514" s="1">
        <f>YEAR(W_カレンダー[[#This Row],[日付]])</f>
        <v>2024</v>
      </c>
      <c r="D514" s="1">
        <f>IF(W_カレンダー[[#This Row],[月]]&lt;=3,W_カレンダー[[#This Row],[暦年]]-1,W_カレンダー[[#This Row],[暦年]])</f>
        <v>2024</v>
      </c>
      <c r="E514" s="1" t="str">
        <f>IF(W_カレンダー[[#This Row],[月]]&lt;=3,"Q4",IF(W_カレンダー[[#This Row],[月]]&lt;=6,"Q1",IF(W_カレンダー[[#This Row],[月]]&lt;=9,"Q2","Q3")))</f>
        <v>Q2</v>
      </c>
    </row>
    <row r="515" spans="1:5" ht="18" customHeight="1" x14ac:dyDescent="0.25">
      <c r="A515" s="27">
        <v>45530</v>
      </c>
      <c r="B515" s="29">
        <f>MONTH(W_カレンダー[[#This Row],[日付]])</f>
        <v>8</v>
      </c>
      <c r="C515" s="1">
        <f>YEAR(W_カレンダー[[#This Row],[日付]])</f>
        <v>2024</v>
      </c>
      <c r="D515" s="1">
        <f>IF(W_カレンダー[[#This Row],[月]]&lt;=3,W_カレンダー[[#This Row],[暦年]]-1,W_カレンダー[[#This Row],[暦年]])</f>
        <v>2024</v>
      </c>
      <c r="E515" s="1" t="str">
        <f>IF(W_カレンダー[[#This Row],[月]]&lt;=3,"Q4",IF(W_カレンダー[[#This Row],[月]]&lt;=6,"Q1",IF(W_カレンダー[[#This Row],[月]]&lt;=9,"Q2","Q3")))</f>
        <v>Q2</v>
      </c>
    </row>
    <row r="516" spans="1:5" ht="18" customHeight="1" x14ac:dyDescent="0.25">
      <c r="A516" s="27">
        <v>45531</v>
      </c>
      <c r="B516" s="29">
        <f>MONTH(W_カレンダー[[#This Row],[日付]])</f>
        <v>8</v>
      </c>
      <c r="C516" s="1">
        <f>YEAR(W_カレンダー[[#This Row],[日付]])</f>
        <v>2024</v>
      </c>
      <c r="D516" s="1">
        <f>IF(W_カレンダー[[#This Row],[月]]&lt;=3,W_カレンダー[[#This Row],[暦年]]-1,W_カレンダー[[#This Row],[暦年]])</f>
        <v>2024</v>
      </c>
      <c r="E516" s="1" t="str">
        <f>IF(W_カレンダー[[#This Row],[月]]&lt;=3,"Q4",IF(W_カレンダー[[#This Row],[月]]&lt;=6,"Q1",IF(W_カレンダー[[#This Row],[月]]&lt;=9,"Q2","Q3")))</f>
        <v>Q2</v>
      </c>
    </row>
    <row r="517" spans="1:5" ht="18" customHeight="1" x14ac:dyDescent="0.25">
      <c r="A517" s="27">
        <v>45532</v>
      </c>
      <c r="B517" s="29">
        <f>MONTH(W_カレンダー[[#This Row],[日付]])</f>
        <v>8</v>
      </c>
      <c r="C517" s="1">
        <f>YEAR(W_カレンダー[[#This Row],[日付]])</f>
        <v>2024</v>
      </c>
      <c r="D517" s="1">
        <f>IF(W_カレンダー[[#This Row],[月]]&lt;=3,W_カレンダー[[#This Row],[暦年]]-1,W_カレンダー[[#This Row],[暦年]])</f>
        <v>2024</v>
      </c>
      <c r="E517" s="1" t="str">
        <f>IF(W_カレンダー[[#This Row],[月]]&lt;=3,"Q4",IF(W_カレンダー[[#This Row],[月]]&lt;=6,"Q1",IF(W_カレンダー[[#This Row],[月]]&lt;=9,"Q2","Q3")))</f>
        <v>Q2</v>
      </c>
    </row>
    <row r="518" spans="1:5" ht="18" customHeight="1" x14ac:dyDescent="0.25">
      <c r="A518" s="27">
        <v>45533</v>
      </c>
      <c r="B518" s="29">
        <f>MONTH(W_カレンダー[[#This Row],[日付]])</f>
        <v>8</v>
      </c>
      <c r="C518" s="1">
        <f>YEAR(W_カレンダー[[#This Row],[日付]])</f>
        <v>2024</v>
      </c>
      <c r="D518" s="1">
        <f>IF(W_カレンダー[[#This Row],[月]]&lt;=3,W_カレンダー[[#This Row],[暦年]]-1,W_カレンダー[[#This Row],[暦年]])</f>
        <v>2024</v>
      </c>
      <c r="E518" s="1" t="str">
        <f>IF(W_カレンダー[[#This Row],[月]]&lt;=3,"Q4",IF(W_カレンダー[[#This Row],[月]]&lt;=6,"Q1",IF(W_カレンダー[[#This Row],[月]]&lt;=9,"Q2","Q3")))</f>
        <v>Q2</v>
      </c>
    </row>
    <row r="519" spans="1:5" ht="18" customHeight="1" x14ac:dyDescent="0.25">
      <c r="A519" s="27">
        <v>45534</v>
      </c>
      <c r="B519" s="29">
        <f>MONTH(W_カレンダー[[#This Row],[日付]])</f>
        <v>8</v>
      </c>
      <c r="C519" s="1">
        <f>YEAR(W_カレンダー[[#This Row],[日付]])</f>
        <v>2024</v>
      </c>
      <c r="D519" s="1">
        <f>IF(W_カレンダー[[#This Row],[月]]&lt;=3,W_カレンダー[[#This Row],[暦年]]-1,W_カレンダー[[#This Row],[暦年]])</f>
        <v>2024</v>
      </c>
      <c r="E519" s="1" t="str">
        <f>IF(W_カレンダー[[#This Row],[月]]&lt;=3,"Q4",IF(W_カレンダー[[#This Row],[月]]&lt;=6,"Q1",IF(W_カレンダー[[#This Row],[月]]&lt;=9,"Q2","Q3")))</f>
        <v>Q2</v>
      </c>
    </row>
    <row r="520" spans="1:5" ht="18" customHeight="1" x14ac:dyDescent="0.25">
      <c r="A520" s="27">
        <v>45535</v>
      </c>
      <c r="B520" s="29">
        <f>MONTH(W_カレンダー[[#This Row],[日付]])</f>
        <v>8</v>
      </c>
      <c r="C520" s="1">
        <f>YEAR(W_カレンダー[[#This Row],[日付]])</f>
        <v>2024</v>
      </c>
      <c r="D520" s="1">
        <f>IF(W_カレンダー[[#This Row],[月]]&lt;=3,W_カレンダー[[#This Row],[暦年]]-1,W_カレンダー[[#This Row],[暦年]])</f>
        <v>2024</v>
      </c>
      <c r="E520" s="1" t="str">
        <f>IF(W_カレンダー[[#This Row],[月]]&lt;=3,"Q4",IF(W_カレンダー[[#This Row],[月]]&lt;=6,"Q1",IF(W_カレンダー[[#This Row],[月]]&lt;=9,"Q2","Q3")))</f>
        <v>Q2</v>
      </c>
    </row>
    <row r="521" spans="1:5" ht="18" customHeight="1" x14ac:dyDescent="0.25">
      <c r="A521" s="27">
        <v>45536</v>
      </c>
      <c r="B521" s="29">
        <f>MONTH(W_カレンダー[[#This Row],[日付]])</f>
        <v>9</v>
      </c>
      <c r="C521" s="1">
        <f>YEAR(W_カレンダー[[#This Row],[日付]])</f>
        <v>2024</v>
      </c>
      <c r="D521" s="1">
        <f>IF(W_カレンダー[[#This Row],[月]]&lt;=3,W_カレンダー[[#This Row],[暦年]]-1,W_カレンダー[[#This Row],[暦年]])</f>
        <v>2024</v>
      </c>
      <c r="E521" s="1" t="str">
        <f>IF(W_カレンダー[[#This Row],[月]]&lt;=3,"Q4",IF(W_カレンダー[[#This Row],[月]]&lt;=6,"Q1",IF(W_カレンダー[[#This Row],[月]]&lt;=9,"Q2","Q3")))</f>
        <v>Q2</v>
      </c>
    </row>
    <row r="522" spans="1:5" ht="18" customHeight="1" x14ac:dyDescent="0.25">
      <c r="A522" s="27">
        <v>45537</v>
      </c>
      <c r="B522" s="29">
        <f>MONTH(W_カレンダー[[#This Row],[日付]])</f>
        <v>9</v>
      </c>
      <c r="C522" s="1">
        <f>YEAR(W_カレンダー[[#This Row],[日付]])</f>
        <v>2024</v>
      </c>
      <c r="D522" s="1">
        <f>IF(W_カレンダー[[#This Row],[月]]&lt;=3,W_カレンダー[[#This Row],[暦年]]-1,W_カレンダー[[#This Row],[暦年]])</f>
        <v>2024</v>
      </c>
      <c r="E522" s="1" t="str">
        <f>IF(W_カレンダー[[#This Row],[月]]&lt;=3,"Q4",IF(W_カレンダー[[#This Row],[月]]&lt;=6,"Q1",IF(W_カレンダー[[#This Row],[月]]&lt;=9,"Q2","Q3")))</f>
        <v>Q2</v>
      </c>
    </row>
    <row r="523" spans="1:5" ht="18" customHeight="1" x14ac:dyDescent="0.25">
      <c r="A523" s="27">
        <v>45538</v>
      </c>
      <c r="B523" s="29">
        <f>MONTH(W_カレンダー[[#This Row],[日付]])</f>
        <v>9</v>
      </c>
      <c r="C523" s="1">
        <f>YEAR(W_カレンダー[[#This Row],[日付]])</f>
        <v>2024</v>
      </c>
      <c r="D523" s="1">
        <f>IF(W_カレンダー[[#This Row],[月]]&lt;=3,W_カレンダー[[#This Row],[暦年]]-1,W_カレンダー[[#This Row],[暦年]])</f>
        <v>2024</v>
      </c>
      <c r="E523" s="1" t="str">
        <f>IF(W_カレンダー[[#This Row],[月]]&lt;=3,"Q4",IF(W_カレンダー[[#This Row],[月]]&lt;=6,"Q1",IF(W_カレンダー[[#This Row],[月]]&lt;=9,"Q2","Q3")))</f>
        <v>Q2</v>
      </c>
    </row>
    <row r="524" spans="1:5" ht="18" customHeight="1" x14ac:dyDescent="0.25">
      <c r="A524" s="27">
        <v>45539</v>
      </c>
      <c r="B524" s="29">
        <f>MONTH(W_カレンダー[[#This Row],[日付]])</f>
        <v>9</v>
      </c>
      <c r="C524" s="1">
        <f>YEAR(W_カレンダー[[#This Row],[日付]])</f>
        <v>2024</v>
      </c>
      <c r="D524" s="1">
        <f>IF(W_カレンダー[[#This Row],[月]]&lt;=3,W_カレンダー[[#This Row],[暦年]]-1,W_カレンダー[[#This Row],[暦年]])</f>
        <v>2024</v>
      </c>
      <c r="E524" s="1" t="str">
        <f>IF(W_カレンダー[[#This Row],[月]]&lt;=3,"Q4",IF(W_カレンダー[[#This Row],[月]]&lt;=6,"Q1",IF(W_カレンダー[[#This Row],[月]]&lt;=9,"Q2","Q3")))</f>
        <v>Q2</v>
      </c>
    </row>
    <row r="525" spans="1:5" ht="18" customHeight="1" x14ac:dyDescent="0.25">
      <c r="A525" s="27">
        <v>45540</v>
      </c>
      <c r="B525" s="29">
        <f>MONTH(W_カレンダー[[#This Row],[日付]])</f>
        <v>9</v>
      </c>
      <c r="C525" s="1">
        <f>YEAR(W_カレンダー[[#This Row],[日付]])</f>
        <v>2024</v>
      </c>
      <c r="D525" s="1">
        <f>IF(W_カレンダー[[#This Row],[月]]&lt;=3,W_カレンダー[[#This Row],[暦年]]-1,W_カレンダー[[#This Row],[暦年]])</f>
        <v>2024</v>
      </c>
      <c r="E525" s="1" t="str">
        <f>IF(W_カレンダー[[#This Row],[月]]&lt;=3,"Q4",IF(W_カレンダー[[#This Row],[月]]&lt;=6,"Q1",IF(W_カレンダー[[#This Row],[月]]&lt;=9,"Q2","Q3")))</f>
        <v>Q2</v>
      </c>
    </row>
    <row r="526" spans="1:5" ht="18" customHeight="1" x14ac:dyDescent="0.25">
      <c r="A526" s="27">
        <v>45541</v>
      </c>
      <c r="B526" s="29">
        <f>MONTH(W_カレンダー[[#This Row],[日付]])</f>
        <v>9</v>
      </c>
      <c r="C526" s="1">
        <f>YEAR(W_カレンダー[[#This Row],[日付]])</f>
        <v>2024</v>
      </c>
      <c r="D526" s="1">
        <f>IF(W_カレンダー[[#This Row],[月]]&lt;=3,W_カレンダー[[#This Row],[暦年]]-1,W_カレンダー[[#This Row],[暦年]])</f>
        <v>2024</v>
      </c>
      <c r="E526" s="1" t="str">
        <f>IF(W_カレンダー[[#This Row],[月]]&lt;=3,"Q4",IF(W_カレンダー[[#This Row],[月]]&lt;=6,"Q1",IF(W_カレンダー[[#This Row],[月]]&lt;=9,"Q2","Q3")))</f>
        <v>Q2</v>
      </c>
    </row>
    <row r="527" spans="1:5" ht="18" customHeight="1" x14ac:dyDescent="0.25">
      <c r="A527" s="27">
        <v>45542</v>
      </c>
      <c r="B527" s="29">
        <f>MONTH(W_カレンダー[[#This Row],[日付]])</f>
        <v>9</v>
      </c>
      <c r="C527" s="1">
        <f>YEAR(W_カレンダー[[#This Row],[日付]])</f>
        <v>2024</v>
      </c>
      <c r="D527" s="1">
        <f>IF(W_カレンダー[[#This Row],[月]]&lt;=3,W_カレンダー[[#This Row],[暦年]]-1,W_カレンダー[[#This Row],[暦年]])</f>
        <v>2024</v>
      </c>
      <c r="E527" s="1" t="str">
        <f>IF(W_カレンダー[[#This Row],[月]]&lt;=3,"Q4",IF(W_カレンダー[[#This Row],[月]]&lt;=6,"Q1",IF(W_カレンダー[[#This Row],[月]]&lt;=9,"Q2","Q3")))</f>
        <v>Q2</v>
      </c>
    </row>
    <row r="528" spans="1:5" ht="18" customHeight="1" x14ac:dyDescent="0.25">
      <c r="A528" s="27">
        <v>45543</v>
      </c>
      <c r="B528" s="29">
        <f>MONTH(W_カレンダー[[#This Row],[日付]])</f>
        <v>9</v>
      </c>
      <c r="C528" s="1">
        <f>YEAR(W_カレンダー[[#This Row],[日付]])</f>
        <v>2024</v>
      </c>
      <c r="D528" s="1">
        <f>IF(W_カレンダー[[#This Row],[月]]&lt;=3,W_カレンダー[[#This Row],[暦年]]-1,W_カレンダー[[#This Row],[暦年]])</f>
        <v>2024</v>
      </c>
      <c r="E528" s="1" t="str">
        <f>IF(W_カレンダー[[#This Row],[月]]&lt;=3,"Q4",IF(W_カレンダー[[#This Row],[月]]&lt;=6,"Q1",IF(W_カレンダー[[#This Row],[月]]&lt;=9,"Q2","Q3")))</f>
        <v>Q2</v>
      </c>
    </row>
    <row r="529" spans="1:5" ht="18" customHeight="1" x14ac:dyDescent="0.25">
      <c r="A529" s="27">
        <v>45544</v>
      </c>
      <c r="B529" s="29">
        <f>MONTH(W_カレンダー[[#This Row],[日付]])</f>
        <v>9</v>
      </c>
      <c r="C529" s="1">
        <f>YEAR(W_カレンダー[[#This Row],[日付]])</f>
        <v>2024</v>
      </c>
      <c r="D529" s="1">
        <f>IF(W_カレンダー[[#This Row],[月]]&lt;=3,W_カレンダー[[#This Row],[暦年]]-1,W_カレンダー[[#This Row],[暦年]])</f>
        <v>2024</v>
      </c>
      <c r="E529" s="1" t="str">
        <f>IF(W_カレンダー[[#This Row],[月]]&lt;=3,"Q4",IF(W_カレンダー[[#This Row],[月]]&lt;=6,"Q1",IF(W_カレンダー[[#This Row],[月]]&lt;=9,"Q2","Q3")))</f>
        <v>Q2</v>
      </c>
    </row>
    <row r="530" spans="1:5" ht="18" customHeight="1" x14ac:dyDescent="0.25">
      <c r="A530" s="27">
        <v>45545</v>
      </c>
      <c r="B530" s="29">
        <f>MONTH(W_カレンダー[[#This Row],[日付]])</f>
        <v>9</v>
      </c>
      <c r="C530" s="1">
        <f>YEAR(W_カレンダー[[#This Row],[日付]])</f>
        <v>2024</v>
      </c>
      <c r="D530" s="1">
        <f>IF(W_カレンダー[[#This Row],[月]]&lt;=3,W_カレンダー[[#This Row],[暦年]]-1,W_カレンダー[[#This Row],[暦年]])</f>
        <v>2024</v>
      </c>
      <c r="E530" s="1" t="str">
        <f>IF(W_カレンダー[[#This Row],[月]]&lt;=3,"Q4",IF(W_カレンダー[[#This Row],[月]]&lt;=6,"Q1",IF(W_カレンダー[[#This Row],[月]]&lt;=9,"Q2","Q3")))</f>
        <v>Q2</v>
      </c>
    </row>
    <row r="531" spans="1:5" ht="18" customHeight="1" x14ac:dyDescent="0.25">
      <c r="A531" s="27">
        <v>45546</v>
      </c>
      <c r="B531" s="29">
        <f>MONTH(W_カレンダー[[#This Row],[日付]])</f>
        <v>9</v>
      </c>
      <c r="C531" s="1">
        <f>YEAR(W_カレンダー[[#This Row],[日付]])</f>
        <v>2024</v>
      </c>
      <c r="D531" s="1">
        <f>IF(W_カレンダー[[#This Row],[月]]&lt;=3,W_カレンダー[[#This Row],[暦年]]-1,W_カレンダー[[#This Row],[暦年]])</f>
        <v>2024</v>
      </c>
      <c r="E531" s="1" t="str">
        <f>IF(W_カレンダー[[#This Row],[月]]&lt;=3,"Q4",IF(W_カレンダー[[#This Row],[月]]&lt;=6,"Q1",IF(W_カレンダー[[#This Row],[月]]&lt;=9,"Q2","Q3")))</f>
        <v>Q2</v>
      </c>
    </row>
    <row r="532" spans="1:5" ht="18" customHeight="1" x14ac:dyDescent="0.25">
      <c r="A532" s="27">
        <v>45547</v>
      </c>
      <c r="B532" s="29">
        <f>MONTH(W_カレンダー[[#This Row],[日付]])</f>
        <v>9</v>
      </c>
      <c r="C532" s="1">
        <f>YEAR(W_カレンダー[[#This Row],[日付]])</f>
        <v>2024</v>
      </c>
      <c r="D532" s="1">
        <f>IF(W_カレンダー[[#This Row],[月]]&lt;=3,W_カレンダー[[#This Row],[暦年]]-1,W_カレンダー[[#This Row],[暦年]])</f>
        <v>2024</v>
      </c>
      <c r="E532" s="1" t="str">
        <f>IF(W_カレンダー[[#This Row],[月]]&lt;=3,"Q4",IF(W_カレンダー[[#This Row],[月]]&lt;=6,"Q1",IF(W_カレンダー[[#This Row],[月]]&lt;=9,"Q2","Q3")))</f>
        <v>Q2</v>
      </c>
    </row>
    <row r="533" spans="1:5" ht="18" customHeight="1" x14ac:dyDescent="0.25">
      <c r="A533" s="27">
        <v>45548</v>
      </c>
      <c r="B533" s="29">
        <f>MONTH(W_カレンダー[[#This Row],[日付]])</f>
        <v>9</v>
      </c>
      <c r="C533" s="1">
        <f>YEAR(W_カレンダー[[#This Row],[日付]])</f>
        <v>2024</v>
      </c>
      <c r="D533" s="1">
        <f>IF(W_カレンダー[[#This Row],[月]]&lt;=3,W_カレンダー[[#This Row],[暦年]]-1,W_カレンダー[[#This Row],[暦年]])</f>
        <v>2024</v>
      </c>
      <c r="E533" s="1" t="str">
        <f>IF(W_カレンダー[[#This Row],[月]]&lt;=3,"Q4",IF(W_カレンダー[[#This Row],[月]]&lt;=6,"Q1",IF(W_カレンダー[[#This Row],[月]]&lt;=9,"Q2","Q3")))</f>
        <v>Q2</v>
      </c>
    </row>
    <row r="534" spans="1:5" ht="18" customHeight="1" x14ac:dyDescent="0.25">
      <c r="A534" s="27">
        <v>45549</v>
      </c>
      <c r="B534" s="29">
        <f>MONTH(W_カレンダー[[#This Row],[日付]])</f>
        <v>9</v>
      </c>
      <c r="C534" s="1">
        <f>YEAR(W_カレンダー[[#This Row],[日付]])</f>
        <v>2024</v>
      </c>
      <c r="D534" s="1">
        <f>IF(W_カレンダー[[#This Row],[月]]&lt;=3,W_カレンダー[[#This Row],[暦年]]-1,W_カレンダー[[#This Row],[暦年]])</f>
        <v>2024</v>
      </c>
      <c r="E534" s="1" t="str">
        <f>IF(W_カレンダー[[#This Row],[月]]&lt;=3,"Q4",IF(W_カレンダー[[#This Row],[月]]&lt;=6,"Q1",IF(W_カレンダー[[#This Row],[月]]&lt;=9,"Q2","Q3")))</f>
        <v>Q2</v>
      </c>
    </row>
    <row r="535" spans="1:5" ht="18" customHeight="1" x14ac:dyDescent="0.25">
      <c r="A535" s="27">
        <v>45550</v>
      </c>
      <c r="B535" s="29">
        <f>MONTH(W_カレンダー[[#This Row],[日付]])</f>
        <v>9</v>
      </c>
      <c r="C535" s="1">
        <f>YEAR(W_カレンダー[[#This Row],[日付]])</f>
        <v>2024</v>
      </c>
      <c r="D535" s="1">
        <f>IF(W_カレンダー[[#This Row],[月]]&lt;=3,W_カレンダー[[#This Row],[暦年]]-1,W_カレンダー[[#This Row],[暦年]])</f>
        <v>2024</v>
      </c>
      <c r="E535" s="1" t="str">
        <f>IF(W_カレンダー[[#This Row],[月]]&lt;=3,"Q4",IF(W_カレンダー[[#This Row],[月]]&lt;=6,"Q1",IF(W_カレンダー[[#This Row],[月]]&lt;=9,"Q2","Q3")))</f>
        <v>Q2</v>
      </c>
    </row>
    <row r="536" spans="1:5" ht="18" customHeight="1" x14ac:dyDescent="0.25">
      <c r="A536" s="27">
        <v>45551</v>
      </c>
      <c r="B536" s="29">
        <f>MONTH(W_カレンダー[[#This Row],[日付]])</f>
        <v>9</v>
      </c>
      <c r="C536" s="1">
        <f>YEAR(W_カレンダー[[#This Row],[日付]])</f>
        <v>2024</v>
      </c>
      <c r="D536" s="1">
        <f>IF(W_カレンダー[[#This Row],[月]]&lt;=3,W_カレンダー[[#This Row],[暦年]]-1,W_カレンダー[[#This Row],[暦年]])</f>
        <v>2024</v>
      </c>
      <c r="E536" s="1" t="str">
        <f>IF(W_カレンダー[[#This Row],[月]]&lt;=3,"Q4",IF(W_カレンダー[[#This Row],[月]]&lt;=6,"Q1",IF(W_カレンダー[[#This Row],[月]]&lt;=9,"Q2","Q3")))</f>
        <v>Q2</v>
      </c>
    </row>
    <row r="537" spans="1:5" ht="18" customHeight="1" x14ac:dyDescent="0.25">
      <c r="A537" s="27">
        <v>45552</v>
      </c>
      <c r="B537" s="29">
        <f>MONTH(W_カレンダー[[#This Row],[日付]])</f>
        <v>9</v>
      </c>
      <c r="C537" s="1">
        <f>YEAR(W_カレンダー[[#This Row],[日付]])</f>
        <v>2024</v>
      </c>
      <c r="D537" s="1">
        <f>IF(W_カレンダー[[#This Row],[月]]&lt;=3,W_カレンダー[[#This Row],[暦年]]-1,W_カレンダー[[#This Row],[暦年]])</f>
        <v>2024</v>
      </c>
      <c r="E537" s="1" t="str">
        <f>IF(W_カレンダー[[#This Row],[月]]&lt;=3,"Q4",IF(W_カレンダー[[#This Row],[月]]&lt;=6,"Q1",IF(W_カレンダー[[#This Row],[月]]&lt;=9,"Q2","Q3")))</f>
        <v>Q2</v>
      </c>
    </row>
    <row r="538" spans="1:5" ht="18" customHeight="1" x14ac:dyDescent="0.25">
      <c r="A538" s="27">
        <v>45553</v>
      </c>
      <c r="B538" s="29">
        <f>MONTH(W_カレンダー[[#This Row],[日付]])</f>
        <v>9</v>
      </c>
      <c r="C538" s="1">
        <f>YEAR(W_カレンダー[[#This Row],[日付]])</f>
        <v>2024</v>
      </c>
      <c r="D538" s="1">
        <f>IF(W_カレンダー[[#This Row],[月]]&lt;=3,W_カレンダー[[#This Row],[暦年]]-1,W_カレンダー[[#This Row],[暦年]])</f>
        <v>2024</v>
      </c>
      <c r="E538" s="1" t="str">
        <f>IF(W_カレンダー[[#This Row],[月]]&lt;=3,"Q4",IF(W_カレンダー[[#This Row],[月]]&lt;=6,"Q1",IF(W_カレンダー[[#This Row],[月]]&lt;=9,"Q2","Q3")))</f>
        <v>Q2</v>
      </c>
    </row>
    <row r="539" spans="1:5" ht="18" customHeight="1" x14ac:dyDescent="0.25">
      <c r="A539" s="27">
        <v>45554</v>
      </c>
      <c r="B539" s="29">
        <f>MONTH(W_カレンダー[[#This Row],[日付]])</f>
        <v>9</v>
      </c>
      <c r="C539" s="1">
        <f>YEAR(W_カレンダー[[#This Row],[日付]])</f>
        <v>2024</v>
      </c>
      <c r="D539" s="1">
        <f>IF(W_カレンダー[[#This Row],[月]]&lt;=3,W_カレンダー[[#This Row],[暦年]]-1,W_カレンダー[[#This Row],[暦年]])</f>
        <v>2024</v>
      </c>
      <c r="E539" s="1" t="str">
        <f>IF(W_カレンダー[[#This Row],[月]]&lt;=3,"Q4",IF(W_カレンダー[[#This Row],[月]]&lt;=6,"Q1",IF(W_カレンダー[[#This Row],[月]]&lt;=9,"Q2","Q3")))</f>
        <v>Q2</v>
      </c>
    </row>
    <row r="540" spans="1:5" ht="18" customHeight="1" x14ac:dyDescent="0.25">
      <c r="A540" s="27">
        <v>45555</v>
      </c>
      <c r="B540" s="29">
        <f>MONTH(W_カレンダー[[#This Row],[日付]])</f>
        <v>9</v>
      </c>
      <c r="C540" s="1">
        <f>YEAR(W_カレンダー[[#This Row],[日付]])</f>
        <v>2024</v>
      </c>
      <c r="D540" s="1">
        <f>IF(W_カレンダー[[#This Row],[月]]&lt;=3,W_カレンダー[[#This Row],[暦年]]-1,W_カレンダー[[#This Row],[暦年]])</f>
        <v>2024</v>
      </c>
      <c r="E540" s="1" t="str">
        <f>IF(W_カレンダー[[#This Row],[月]]&lt;=3,"Q4",IF(W_カレンダー[[#This Row],[月]]&lt;=6,"Q1",IF(W_カレンダー[[#This Row],[月]]&lt;=9,"Q2","Q3")))</f>
        <v>Q2</v>
      </c>
    </row>
    <row r="541" spans="1:5" ht="18" customHeight="1" x14ac:dyDescent="0.25">
      <c r="A541" s="27">
        <v>45556</v>
      </c>
      <c r="B541" s="29">
        <f>MONTH(W_カレンダー[[#This Row],[日付]])</f>
        <v>9</v>
      </c>
      <c r="C541" s="1">
        <f>YEAR(W_カレンダー[[#This Row],[日付]])</f>
        <v>2024</v>
      </c>
      <c r="D541" s="1">
        <f>IF(W_カレンダー[[#This Row],[月]]&lt;=3,W_カレンダー[[#This Row],[暦年]]-1,W_カレンダー[[#This Row],[暦年]])</f>
        <v>2024</v>
      </c>
      <c r="E541" s="1" t="str">
        <f>IF(W_カレンダー[[#This Row],[月]]&lt;=3,"Q4",IF(W_カレンダー[[#This Row],[月]]&lt;=6,"Q1",IF(W_カレンダー[[#This Row],[月]]&lt;=9,"Q2","Q3")))</f>
        <v>Q2</v>
      </c>
    </row>
    <row r="542" spans="1:5" ht="18" customHeight="1" x14ac:dyDescent="0.25">
      <c r="A542" s="27">
        <v>45557</v>
      </c>
      <c r="B542" s="29">
        <f>MONTH(W_カレンダー[[#This Row],[日付]])</f>
        <v>9</v>
      </c>
      <c r="C542" s="1">
        <f>YEAR(W_カレンダー[[#This Row],[日付]])</f>
        <v>2024</v>
      </c>
      <c r="D542" s="1">
        <f>IF(W_カレンダー[[#This Row],[月]]&lt;=3,W_カレンダー[[#This Row],[暦年]]-1,W_カレンダー[[#This Row],[暦年]])</f>
        <v>2024</v>
      </c>
      <c r="E542" s="1" t="str">
        <f>IF(W_カレンダー[[#This Row],[月]]&lt;=3,"Q4",IF(W_カレンダー[[#This Row],[月]]&lt;=6,"Q1",IF(W_カレンダー[[#This Row],[月]]&lt;=9,"Q2","Q3")))</f>
        <v>Q2</v>
      </c>
    </row>
    <row r="543" spans="1:5" ht="18" customHeight="1" x14ac:dyDescent="0.25">
      <c r="A543" s="27">
        <v>45558</v>
      </c>
      <c r="B543" s="29">
        <f>MONTH(W_カレンダー[[#This Row],[日付]])</f>
        <v>9</v>
      </c>
      <c r="C543" s="1">
        <f>YEAR(W_カレンダー[[#This Row],[日付]])</f>
        <v>2024</v>
      </c>
      <c r="D543" s="1">
        <f>IF(W_カレンダー[[#This Row],[月]]&lt;=3,W_カレンダー[[#This Row],[暦年]]-1,W_カレンダー[[#This Row],[暦年]])</f>
        <v>2024</v>
      </c>
      <c r="E543" s="1" t="str">
        <f>IF(W_カレンダー[[#This Row],[月]]&lt;=3,"Q4",IF(W_カレンダー[[#This Row],[月]]&lt;=6,"Q1",IF(W_カレンダー[[#This Row],[月]]&lt;=9,"Q2","Q3")))</f>
        <v>Q2</v>
      </c>
    </row>
    <row r="544" spans="1:5" ht="18" customHeight="1" x14ac:dyDescent="0.25">
      <c r="A544" s="27">
        <v>45559</v>
      </c>
      <c r="B544" s="29">
        <f>MONTH(W_カレンダー[[#This Row],[日付]])</f>
        <v>9</v>
      </c>
      <c r="C544" s="1">
        <f>YEAR(W_カレンダー[[#This Row],[日付]])</f>
        <v>2024</v>
      </c>
      <c r="D544" s="1">
        <f>IF(W_カレンダー[[#This Row],[月]]&lt;=3,W_カレンダー[[#This Row],[暦年]]-1,W_カレンダー[[#This Row],[暦年]])</f>
        <v>2024</v>
      </c>
      <c r="E544" s="1" t="str">
        <f>IF(W_カレンダー[[#This Row],[月]]&lt;=3,"Q4",IF(W_カレンダー[[#This Row],[月]]&lt;=6,"Q1",IF(W_カレンダー[[#This Row],[月]]&lt;=9,"Q2","Q3")))</f>
        <v>Q2</v>
      </c>
    </row>
    <row r="545" spans="1:5" ht="18" customHeight="1" x14ac:dyDescent="0.25">
      <c r="A545" s="27">
        <v>45560</v>
      </c>
      <c r="B545" s="29">
        <f>MONTH(W_カレンダー[[#This Row],[日付]])</f>
        <v>9</v>
      </c>
      <c r="C545" s="1">
        <f>YEAR(W_カレンダー[[#This Row],[日付]])</f>
        <v>2024</v>
      </c>
      <c r="D545" s="1">
        <f>IF(W_カレンダー[[#This Row],[月]]&lt;=3,W_カレンダー[[#This Row],[暦年]]-1,W_カレンダー[[#This Row],[暦年]])</f>
        <v>2024</v>
      </c>
      <c r="E545" s="1" t="str">
        <f>IF(W_カレンダー[[#This Row],[月]]&lt;=3,"Q4",IF(W_カレンダー[[#This Row],[月]]&lt;=6,"Q1",IF(W_カレンダー[[#This Row],[月]]&lt;=9,"Q2","Q3")))</f>
        <v>Q2</v>
      </c>
    </row>
    <row r="546" spans="1:5" ht="18" customHeight="1" x14ac:dyDescent="0.25">
      <c r="A546" s="27">
        <v>45561</v>
      </c>
      <c r="B546" s="29">
        <f>MONTH(W_カレンダー[[#This Row],[日付]])</f>
        <v>9</v>
      </c>
      <c r="C546" s="1">
        <f>YEAR(W_カレンダー[[#This Row],[日付]])</f>
        <v>2024</v>
      </c>
      <c r="D546" s="1">
        <f>IF(W_カレンダー[[#This Row],[月]]&lt;=3,W_カレンダー[[#This Row],[暦年]]-1,W_カレンダー[[#This Row],[暦年]])</f>
        <v>2024</v>
      </c>
      <c r="E546" s="1" t="str">
        <f>IF(W_カレンダー[[#This Row],[月]]&lt;=3,"Q4",IF(W_カレンダー[[#This Row],[月]]&lt;=6,"Q1",IF(W_カレンダー[[#This Row],[月]]&lt;=9,"Q2","Q3")))</f>
        <v>Q2</v>
      </c>
    </row>
    <row r="547" spans="1:5" ht="18" customHeight="1" x14ac:dyDescent="0.25">
      <c r="A547" s="27">
        <v>45562</v>
      </c>
      <c r="B547" s="29">
        <f>MONTH(W_カレンダー[[#This Row],[日付]])</f>
        <v>9</v>
      </c>
      <c r="C547" s="1">
        <f>YEAR(W_カレンダー[[#This Row],[日付]])</f>
        <v>2024</v>
      </c>
      <c r="D547" s="1">
        <f>IF(W_カレンダー[[#This Row],[月]]&lt;=3,W_カレンダー[[#This Row],[暦年]]-1,W_カレンダー[[#This Row],[暦年]])</f>
        <v>2024</v>
      </c>
      <c r="E547" s="1" t="str">
        <f>IF(W_カレンダー[[#This Row],[月]]&lt;=3,"Q4",IF(W_カレンダー[[#This Row],[月]]&lt;=6,"Q1",IF(W_カレンダー[[#This Row],[月]]&lt;=9,"Q2","Q3")))</f>
        <v>Q2</v>
      </c>
    </row>
    <row r="548" spans="1:5" ht="18" customHeight="1" x14ac:dyDescent="0.25">
      <c r="A548" s="27">
        <v>45563</v>
      </c>
      <c r="B548" s="29">
        <f>MONTH(W_カレンダー[[#This Row],[日付]])</f>
        <v>9</v>
      </c>
      <c r="C548" s="1">
        <f>YEAR(W_カレンダー[[#This Row],[日付]])</f>
        <v>2024</v>
      </c>
      <c r="D548" s="1">
        <f>IF(W_カレンダー[[#This Row],[月]]&lt;=3,W_カレンダー[[#This Row],[暦年]]-1,W_カレンダー[[#This Row],[暦年]])</f>
        <v>2024</v>
      </c>
      <c r="E548" s="1" t="str">
        <f>IF(W_カレンダー[[#This Row],[月]]&lt;=3,"Q4",IF(W_カレンダー[[#This Row],[月]]&lt;=6,"Q1",IF(W_カレンダー[[#This Row],[月]]&lt;=9,"Q2","Q3")))</f>
        <v>Q2</v>
      </c>
    </row>
    <row r="549" spans="1:5" ht="18" customHeight="1" x14ac:dyDescent="0.25">
      <c r="A549" s="27">
        <v>45564</v>
      </c>
      <c r="B549" s="29">
        <f>MONTH(W_カレンダー[[#This Row],[日付]])</f>
        <v>9</v>
      </c>
      <c r="C549" s="1">
        <f>YEAR(W_カレンダー[[#This Row],[日付]])</f>
        <v>2024</v>
      </c>
      <c r="D549" s="1">
        <f>IF(W_カレンダー[[#This Row],[月]]&lt;=3,W_カレンダー[[#This Row],[暦年]]-1,W_カレンダー[[#This Row],[暦年]])</f>
        <v>2024</v>
      </c>
      <c r="E549" s="1" t="str">
        <f>IF(W_カレンダー[[#This Row],[月]]&lt;=3,"Q4",IF(W_カレンダー[[#This Row],[月]]&lt;=6,"Q1",IF(W_カレンダー[[#This Row],[月]]&lt;=9,"Q2","Q3")))</f>
        <v>Q2</v>
      </c>
    </row>
    <row r="550" spans="1:5" ht="18" customHeight="1" x14ac:dyDescent="0.25">
      <c r="A550" s="27">
        <v>45565</v>
      </c>
      <c r="B550" s="29">
        <f>MONTH(W_カレンダー[[#This Row],[日付]])</f>
        <v>9</v>
      </c>
      <c r="C550" s="1">
        <f>YEAR(W_カレンダー[[#This Row],[日付]])</f>
        <v>2024</v>
      </c>
      <c r="D550" s="1">
        <f>IF(W_カレンダー[[#This Row],[月]]&lt;=3,W_カレンダー[[#This Row],[暦年]]-1,W_カレンダー[[#This Row],[暦年]])</f>
        <v>2024</v>
      </c>
      <c r="E550" s="1" t="str">
        <f>IF(W_カレンダー[[#This Row],[月]]&lt;=3,"Q4",IF(W_カレンダー[[#This Row],[月]]&lt;=6,"Q1",IF(W_カレンダー[[#This Row],[月]]&lt;=9,"Q2","Q3")))</f>
        <v>Q2</v>
      </c>
    </row>
    <row r="551" spans="1:5" ht="18" customHeight="1" x14ac:dyDescent="0.25">
      <c r="A551" s="27">
        <v>45566</v>
      </c>
      <c r="B551" s="29">
        <f>MONTH(W_カレンダー[[#This Row],[日付]])</f>
        <v>10</v>
      </c>
      <c r="C551" s="1">
        <f>YEAR(W_カレンダー[[#This Row],[日付]])</f>
        <v>2024</v>
      </c>
      <c r="D551" s="1">
        <f>IF(W_カレンダー[[#This Row],[月]]&lt;=3,W_カレンダー[[#This Row],[暦年]]-1,W_カレンダー[[#This Row],[暦年]])</f>
        <v>2024</v>
      </c>
      <c r="E551" s="1" t="str">
        <f>IF(W_カレンダー[[#This Row],[月]]&lt;=3,"Q4",IF(W_カレンダー[[#This Row],[月]]&lt;=6,"Q1",IF(W_カレンダー[[#This Row],[月]]&lt;=9,"Q2","Q3")))</f>
        <v>Q3</v>
      </c>
    </row>
    <row r="552" spans="1:5" ht="18" customHeight="1" x14ac:dyDescent="0.25">
      <c r="A552" s="27">
        <v>45567</v>
      </c>
      <c r="B552" s="29">
        <f>MONTH(W_カレンダー[[#This Row],[日付]])</f>
        <v>10</v>
      </c>
      <c r="C552" s="1">
        <f>YEAR(W_カレンダー[[#This Row],[日付]])</f>
        <v>2024</v>
      </c>
      <c r="D552" s="1">
        <f>IF(W_カレンダー[[#This Row],[月]]&lt;=3,W_カレンダー[[#This Row],[暦年]]-1,W_カレンダー[[#This Row],[暦年]])</f>
        <v>2024</v>
      </c>
      <c r="E552" s="1" t="str">
        <f>IF(W_カレンダー[[#This Row],[月]]&lt;=3,"Q4",IF(W_カレンダー[[#This Row],[月]]&lt;=6,"Q1",IF(W_カレンダー[[#This Row],[月]]&lt;=9,"Q2","Q3")))</f>
        <v>Q3</v>
      </c>
    </row>
    <row r="553" spans="1:5" ht="18" customHeight="1" x14ac:dyDescent="0.25">
      <c r="A553" s="27">
        <v>45568</v>
      </c>
      <c r="B553" s="29">
        <f>MONTH(W_カレンダー[[#This Row],[日付]])</f>
        <v>10</v>
      </c>
      <c r="C553" s="1">
        <f>YEAR(W_カレンダー[[#This Row],[日付]])</f>
        <v>2024</v>
      </c>
      <c r="D553" s="1">
        <f>IF(W_カレンダー[[#This Row],[月]]&lt;=3,W_カレンダー[[#This Row],[暦年]]-1,W_カレンダー[[#This Row],[暦年]])</f>
        <v>2024</v>
      </c>
      <c r="E553" s="1" t="str">
        <f>IF(W_カレンダー[[#This Row],[月]]&lt;=3,"Q4",IF(W_カレンダー[[#This Row],[月]]&lt;=6,"Q1",IF(W_カレンダー[[#This Row],[月]]&lt;=9,"Q2","Q3")))</f>
        <v>Q3</v>
      </c>
    </row>
    <row r="554" spans="1:5" ht="18" customHeight="1" x14ac:dyDescent="0.25">
      <c r="A554" s="27">
        <v>45569</v>
      </c>
      <c r="B554" s="29">
        <f>MONTH(W_カレンダー[[#This Row],[日付]])</f>
        <v>10</v>
      </c>
      <c r="C554" s="1">
        <f>YEAR(W_カレンダー[[#This Row],[日付]])</f>
        <v>2024</v>
      </c>
      <c r="D554" s="1">
        <f>IF(W_カレンダー[[#This Row],[月]]&lt;=3,W_カレンダー[[#This Row],[暦年]]-1,W_カレンダー[[#This Row],[暦年]])</f>
        <v>2024</v>
      </c>
      <c r="E554" s="1" t="str">
        <f>IF(W_カレンダー[[#This Row],[月]]&lt;=3,"Q4",IF(W_カレンダー[[#This Row],[月]]&lt;=6,"Q1",IF(W_カレンダー[[#This Row],[月]]&lt;=9,"Q2","Q3")))</f>
        <v>Q3</v>
      </c>
    </row>
    <row r="555" spans="1:5" ht="18" customHeight="1" x14ac:dyDescent="0.25">
      <c r="A555" s="27">
        <v>45570</v>
      </c>
      <c r="B555" s="29">
        <f>MONTH(W_カレンダー[[#This Row],[日付]])</f>
        <v>10</v>
      </c>
      <c r="C555" s="1">
        <f>YEAR(W_カレンダー[[#This Row],[日付]])</f>
        <v>2024</v>
      </c>
      <c r="D555" s="1">
        <f>IF(W_カレンダー[[#This Row],[月]]&lt;=3,W_カレンダー[[#This Row],[暦年]]-1,W_カレンダー[[#This Row],[暦年]])</f>
        <v>2024</v>
      </c>
      <c r="E555" s="1" t="str">
        <f>IF(W_カレンダー[[#This Row],[月]]&lt;=3,"Q4",IF(W_カレンダー[[#This Row],[月]]&lt;=6,"Q1",IF(W_カレンダー[[#This Row],[月]]&lt;=9,"Q2","Q3")))</f>
        <v>Q3</v>
      </c>
    </row>
    <row r="556" spans="1:5" ht="18" customHeight="1" x14ac:dyDescent="0.25">
      <c r="A556" s="27">
        <v>45571</v>
      </c>
      <c r="B556" s="29">
        <f>MONTH(W_カレンダー[[#This Row],[日付]])</f>
        <v>10</v>
      </c>
      <c r="C556" s="1">
        <f>YEAR(W_カレンダー[[#This Row],[日付]])</f>
        <v>2024</v>
      </c>
      <c r="D556" s="1">
        <f>IF(W_カレンダー[[#This Row],[月]]&lt;=3,W_カレンダー[[#This Row],[暦年]]-1,W_カレンダー[[#This Row],[暦年]])</f>
        <v>2024</v>
      </c>
      <c r="E556" s="1" t="str">
        <f>IF(W_カレンダー[[#This Row],[月]]&lt;=3,"Q4",IF(W_カレンダー[[#This Row],[月]]&lt;=6,"Q1",IF(W_カレンダー[[#This Row],[月]]&lt;=9,"Q2","Q3")))</f>
        <v>Q3</v>
      </c>
    </row>
    <row r="557" spans="1:5" ht="18" customHeight="1" x14ac:dyDescent="0.25">
      <c r="A557" s="27">
        <v>45572</v>
      </c>
      <c r="B557" s="29">
        <f>MONTH(W_カレンダー[[#This Row],[日付]])</f>
        <v>10</v>
      </c>
      <c r="C557" s="1">
        <f>YEAR(W_カレンダー[[#This Row],[日付]])</f>
        <v>2024</v>
      </c>
      <c r="D557" s="1">
        <f>IF(W_カレンダー[[#This Row],[月]]&lt;=3,W_カレンダー[[#This Row],[暦年]]-1,W_カレンダー[[#This Row],[暦年]])</f>
        <v>2024</v>
      </c>
      <c r="E557" s="1" t="str">
        <f>IF(W_カレンダー[[#This Row],[月]]&lt;=3,"Q4",IF(W_カレンダー[[#This Row],[月]]&lt;=6,"Q1",IF(W_カレンダー[[#This Row],[月]]&lt;=9,"Q2","Q3")))</f>
        <v>Q3</v>
      </c>
    </row>
    <row r="558" spans="1:5" ht="18" customHeight="1" x14ac:dyDescent="0.25">
      <c r="A558" s="27">
        <v>45573</v>
      </c>
      <c r="B558" s="29">
        <f>MONTH(W_カレンダー[[#This Row],[日付]])</f>
        <v>10</v>
      </c>
      <c r="C558" s="1">
        <f>YEAR(W_カレンダー[[#This Row],[日付]])</f>
        <v>2024</v>
      </c>
      <c r="D558" s="1">
        <f>IF(W_カレンダー[[#This Row],[月]]&lt;=3,W_カレンダー[[#This Row],[暦年]]-1,W_カレンダー[[#This Row],[暦年]])</f>
        <v>2024</v>
      </c>
      <c r="E558" s="1" t="str">
        <f>IF(W_カレンダー[[#This Row],[月]]&lt;=3,"Q4",IF(W_カレンダー[[#This Row],[月]]&lt;=6,"Q1",IF(W_カレンダー[[#This Row],[月]]&lt;=9,"Q2","Q3")))</f>
        <v>Q3</v>
      </c>
    </row>
    <row r="559" spans="1:5" ht="18" customHeight="1" x14ac:dyDescent="0.25">
      <c r="A559" s="27">
        <v>45574</v>
      </c>
      <c r="B559" s="29">
        <f>MONTH(W_カレンダー[[#This Row],[日付]])</f>
        <v>10</v>
      </c>
      <c r="C559" s="1">
        <f>YEAR(W_カレンダー[[#This Row],[日付]])</f>
        <v>2024</v>
      </c>
      <c r="D559" s="1">
        <f>IF(W_カレンダー[[#This Row],[月]]&lt;=3,W_カレンダー[[#This Row],[暦年]]-1,W_カレンダー[[#This Row],[暦年]])</f>
        <v>2024</v>
      </c>
      <c r="E559" s="1" t="str">
        <f>IF(W_カレンダー[[#This Row],[月]]&lt;=3,"Q4",IF(W_カレンダー[[#This Row],[月]]&lt;=6,"Q1",IF(W_カレンダー[[#This Row],[月]]&lt;=9,"Q2","Q3")))</f>
        <v>Q3</v>
      </c>
    </row>
    <row r="560" spans="1:5" ht="18" customHeight="1" x14ac:dyDescent="0.25">
      <c r="A560" s="27">
        <v>45575</v>
      </c>
      <c r="B560" s="29">
        <f>MONTH(W_カレンダー[[#This Row],[日付]])</f>
        <v>10</v>
      </c>
      <c r="C560" s="1">
        <f>YEAR(W_カレンダー[[#This Row],[日付]])</f>
        <v>2024</v>
      </c>
      <c r="D560" s="1">
        <f>IF(W_カレンダー[[#This Row],[月]]&lt;=3,W_カレンダー[[#This Row],[暦年]]-1,W_カレンダー[[#This Row],[暦年]])</f>
        <v>2024</v>
      </c>
      <c r="E560" s="1" t="str">
        <f>IF(W_カレンダー[[#This Row],[月]]&lt;=3,"Q4",IF(W_カレンダー[[#This Row],[月]]&lt;=6,"Q1",IF(W_カレンダー[[#This Row],[月]]&lt;=9,"Q2","Q3")))</f>
        <v>Q3</v>
      </c>
    </row>
    <row r="561" spans="1:5" ht="18" customHeight="1" x14ac:dyDescent="0.25">
      <c r="A561" s="27">
        <v>45576</v>
      </c>
      <c r="B561" s="29">
        <f>MONTH(W_カレンダー[[#This Row],[日付]])</f>
        <v>10</v>
      </c>
      <c r="C561" s="1">
        <f>YEAR(W_カレンダー[[#This Row],[日付]])</f>
        <v>2024</v>
      </c>
      <c r="D561" s="1">
        <f>IF(W_カレンダー[[#This Row],[月]]&lt;=3,W_カレンダー[[#This Row],[暦年]]-1,W_カレンダー[[#This Row],[暦年]])</f>
        <v>2024</v>
      </c>
      <c r="E561" s="1" t="str">
        <f>IF(W_カレンダー[[#This Row],[月]]&lt;=3,"Q4",IF(W_カレンダー[[#This Row],[月]]&lt;=6,"Q1",IF(W_カレンダー[[#This Row],[月]]&lt;=9,"Q2","Q3")))</f>
        <v>Q3</v>
      </c>
    </row>
    <row r="562" spans="1:5" ht="18" customHeight="1" x14ac:dyDescent="0.25">
      <c r="A562" s="27">
        <v>45577</v>
      </c>
      <c r="B562" s="29">
        <f>MONTH(W_カレンダー[[#This Row],[日付]])</f>
        <v>10</v>
      </c>
      <c r="C562" s="1">
        <f>YEAR(W_カレンダー[[#This Row],[日付]])</f>
        <v>2024</v>
      </c>
      <c r="D562" s="1">
        <f>IF(W_カレンダー[[#This Row],[月]]&lt;=3,W_カレンダー[[#This Row],[暦年]]-1,W_カレンダー[[#This Row],[暦年]])</f>
        <v>2024</v>
      </c>
      <c r="E562" s="1" t="str">
        <f>IF(W_カレンダー[[#This Row],[月]]&lt;=3,"Q4",IF(W_カレンダー[[#This Row],[月]]&lt;=6,"Q1",IF(W_カレンダー[[#This Row],[月]]&lt;=9,"Q2","Q3")))</f>
        <v>Q3</v>
      </c>
    </row>
    <row r="563" spans="1:5" ht="18" customHeight="1" x14ac:dyDescent="0.25">
      <c r="A563" s="27">
        <v>45578</v>
      </c>
      <c r="B563" s="29">
        <f>MONTH(W_カレンダー[[#This Row],[日付]])</f>
        <v>10</v>
      </c>
      <c r="C563" s="1">
        <f>YEAR(W_カレンダー[[#This Row],[日付]])</f>
        <v>2024</v>
      </c>
      <c r="D563" s="1">
        <f>IF(W_カレンダー[[#This Row],[月]]&lt;=3,W_カレンダー[[#This Row],[暦年]]-1,W_カレンダー[[#This Row],[暦年]])</f>
        <v>2024</v>
      </c>
      <c r="E563" s="1" t="str">
        <f>IF(W_カレンダー[[#This Row],[月]]&lt;=3,"Q4",IF(W_カレンダー[[#This Row],[月]]&lt;=6,"Q1",IF(W_カレンダー[[#This Row],[月]]&lt;=9,"Q2","Q3")))</f>
        <v>Q3</v>
      </c>
    </row>
    <row r="564" spans="1:5" ht="18" customHeight="1" x14ac:dyDescent="0.25">
      <c r="A564" s="27">
        <v>45579</v>
      </c>
      <c r="B564" s="29">
        <f>MONTH(W_カレンダー[[#This Row],[日付]])</f>
        <v>10</v>
      </c>
      <c r="C564" s="1">
        <f>YEAR(W_カレンダー[[#This Row],[日付]])</f>
        <v>2024</v>
      </c>
      <c r="D564" s="1">
        <f>IF(W_カレンダー[[#This Row],[月]]&lt;=3,W_カレンダー[[#This Row],[暦年]]-1,W_カレンダー[[#This Row],[暦年]])</f>
        <v>2024</v>
      </c>
      <c r="E564" s="1" t="str">
        <f>IF(W_カレンダー[[#This Row],[月]]&lt;=3,"Q4",IF(W_カレンダー[[#This Row],[月]]&lt;=6,"Q1",IF(W_カレンダー[[#This Row],[月]]&lt;=9,"Q2","Q3")))</f>
        <v>Q3</v>
      </c>
    </row>
    <row r="565" spans="1:5" ht="18" customHeight="1" x14ac:dyDescent="0.25">
      <c r="A565" s="27">
        <v>45580</v>
      </c>
      <c r="B565" s="29">
        <f>MONTH(W_カレンダー[[#This Row],[日付]])</f>
        <v>10</v>
      </c>
      <c r="C565" s="1">
        <f>YEAR(W_カレンダー[[#This Row],[日付]])</f>
        <v>2024</v>
      </c>
      <c r="D565" s="1">
        <f>IF(W_カレンダー[[#This Row],[月]]&lt;=3,W_カレンダー[[#This Row],[暦年]]-1,W_カレンダー[[#This Row],[暦年]])</f>
        <v>2024</v>
      </c>
      <c r="E565" s="1" t="str">
        <f>IF(W_カレンダー[[#This Row],[月]]&lt;=3,"Q4",IF(W_カレンダー[[#This Row],[月]]&lt;=6,"Q1",IF(W_カレンダー[[#This Row],[月]]&lt;=9,"Q2","Q3")))</f>
        <v>Q3</v>
      </c>
    </row>
    <row r="566" spans="1:5" ht="18" customHeight="1" x14ac:dyDescent="0.25">
      <c r="A566" s="27">
        <v>45581</v>
      </c>
      <c r="B566" s="29">
        <f>MONTH(W_カレンダー[[#This Row],[日付]])</f>
        <v>10</v>
      </c>
      <c r="C566" s="1">
        <f>YEAR(W_カレンダー[[#This Row],[日付]])</f>
        <v>2024</v>
      </c>
      <c r="D566" s="1">
        <f>IF(W_カレンダー[[#This Row],[月]]&lt;=3,W_カレンダー[[#This Row],[暦年]]-1,W_カレンダー[[#This Row],[暦年]])</f>
        <v>2024</v>
      </c>
      <c r="E566" s="1" t="str">
        <f>IF(W_カレンダー[[#This Row],[月]]&lt;=3,"Q4",IF(W_カレンダー[[#This Row],[月]]&lt;=6,"Q1",IF(W_カレンダー[[#This Row],[月]]&lt;=9,"Q2","Q3")))</f>
        <v>Q3</v>
      </c>
    </row>
    <row r="567" spans="1:5" ht="18" customHeight="1" x14ac:dyDescent="0.25">
      <c r="A567" s="27">
        <v>45582</v>
      </c>
      <c r="B567" s="29">
        <f>MONTH(W_カレンダー[[#This Row],[日付]])</f>
        <v>10</v>
      </c>
      <c r="C567" s="1">
        <f>YEAR(W_カレンダー[[#This Row],[日付]])</f>
        <v>2024</v>
      </c>
      <c r="D567" s="1">
        <f>IF(W_カレンダー[[#This Row],[月]]&lt;=3,W_カレンダー[[#This Row],[暦年]]-1,W_カレンダー[[#This Row],[暦年]])</f>
        <v>2024</v>
      </c>
      <c r="E567" s="1" t="str">
        <f>IF(W_カレンダー[[#This Row],[月]]&lt;=3,"Q4",IF(W_カレンダー[[#This Row],[月]]&lt;=6,"Q1",IF(W_カレンダー[[#This Row],[月]]&lt;=9,"Q2","Q3")))</f>
        <v>Q3</v>
      </c>
    </row>
    <row r="568" spans="1:5" ht="18" customHeight="1" x14ac:dyDescent="0.25">
      <c r="A568" s="27">
        <v>45583</v>
      </c>
      <c r="B568" s="29">
        <f>MONTH(W_カレンダー[[#This Row],[日付]])</f>
        <v>10</v>
      </c>
      <c r="C568" s="1">
        <f>YEAR(W_カレンダー[[#This Row],[日付]])</f>
        <v>2024</v>
      </c>
      <c r="D568" s="1">
        <f>IF(W_カレンダー[[#This Row],[月]]&lt;=3,W_カレンダー[[#This Row],[暦年]]-1,W_カレンダー[[#This Row],[暦年]])</f>
        <v>2024</v>
      </c>
      <c r="E568" s="1" t="str">
        <f>IF(W_カレンダー[[#This Row],[月]]&lt;=3,"Q4",IF(W_カレンダー[[#This Row],[月]]&lt;=6,"Q1",IF(W_カレンダー[[#This Row],[月]]&lt;=9,"Q2","Q3")))</f>
        <v>Q3</v>
      </c>
    </row>
    <row r="569" spans="1:5" ht="18" customHeight="1" x14ac:dyDescent="0.25">
      <c r="A569" s="27">
        <v>45584</v>
      </c>
      <c r="B569" s="29">
        <f>MONTH(W_カレンダー[[#This Row],[日付]])</f>
        <v>10</v>
      </c>
      <c r="C569" s="1">
        <f>YEAR(W_カレンダー[[#This Row],[日付]])</f>
        <v>2024</v>
      </c>
      <c r="D569" s="1">
        <f>IF(W_カレンダー[[#This Row],[月]]&lt;=3,W_カレンダー[[#This Row],[暦年]]-1,W_カレンダー[[#This Row],[暦年]])</f>
        <v>2024</v>
      </c>
      <c r="E569" s="1" t="str">
        <f>IF(W_カレンダー[[#This Row],[月]]&lt;=3,"Q4",IF(W_カレンダー[[#This Row],[月]]&lt;=6,"Q1",IF(W_カレンダー[[#This Row],[月]]&lt;=9,"Q2","Q3")))</f>
        <v>Q3</v>
      </c>
    </row>
    <row r="570" spans="1:5" ht="18" customHeight="1" x14ac:dyDescent="0.25">
      <c r="A570" s="27">
        <v>45585</v>
      </c>
      <c r="B570" s="29">
        <f>MONTH(W_カレンダー[[#This Row],[日付]])</f>
        <v>10</v>
      </c>
      <c r="C570" s="1">
        <f>YEAR(W_カレンダー[[#This Row],[日付]])</f>
        <v>2024</v>
      </c>
      <c r="D570" s="1">
        <f>IF(W_カレンダー[[#This Row],[月]]&lt;=3,W_カレンダー[[#This Row],[暦年]]-1,W_カレンダー[[#This Row],[暦年]])</f>
        <v>2024</v>
      </c>
      <c r="E570" s="1" t="str">
        <f>IF(W_カレンダー[[#This Row],[月]]&lt;=3,"Q4",IF(W_カレンダー[[#This Row],[月]]&lt;=6,"Q1",IF(W_カレンダー[[#This Row],[月]]&lt;=9,"Q2","Q3")))</f>
        <v>Q3</v>
      </c>
    </row>
    <row r="571" spans="1:5" ht="18" customHeight="1" x14ac:dyDescent="0.25">
      <c r="A571" s="27">
        <v>45586</v>
      </c>
      <c r="B571" s="29">
        <f>MONTH(W_カレンダー[[#This Row],[日付]])</f>
        <v>10</v>
      </c>
      <c r="C571" s="1">
        <f>YEAR(W_カレンダー[[#This Row],[日付]])</f>
        <v>2024</v>
      </c>
      <c r="D571" s="1">
        <f>IF(W_カレンダー[[#This Row],[月]]&lt;=3,W_カレンダー[[#This Row],[暦年]]-1,W_カレンダー[[#This Row],[暦年]])</f>
        <v>2024</v>
      </c>
      <c r="E571" s="1" t="str">
        <f>IF(W_カレンダー[[#This Row],[月]]&lt;=3,"Q4",IF(W_カレンダー[[#This Row],[月]]&lt;=6,"Q1",IF(W_カレンダー[[#This Row],[月]]&lt;=9,"Q2","Q3")))</f>
        <v>Q3</v>
      </c>
    </row>
    <row r="572" spans="1:5" ht="18" customHeight="1" x14ac:dyDescent="0.25">
      <c r="A572" s="27">
        <v>45587</v>
      </c>
      <c r="B572" s="29">
        <f>MONTH(W_カレンダー[[#This Row],[日付]])</f>
        <v>10</v>
      </c>
      <c r="C572" s="1">
        <f>YEAR(W_カレンダー[[#This Row],[日付]])</f>
        <v>2024</v>
      </c>
      <c r="D572" s="1">
        <f>IF(W_カレンダー[[#This Row],[月]]&lt;=3,W_カレンダー[[#This Row],[暦年]]-1,W_カレンダー[[#This Row],[暦年]])</f>
        <v>2024</v>
      </c>
      <c r="E572" s="1" t="str">
        <f>IF(W_カレンダー[[#This Row],[月]]&lt;=3,"Q4",IF(W_カレンダー[[#This Row],[月]]&lt;=6,"Q1",IF(W_カレンダー[[#This Row],[月]]&lt;=9,"Q2","Q3")))</f>
        <v>Q3</v>
      </c>
    </row>
    <row r="573" spans="1:5" ht="18" customHeight="1" x14ac:dyDescent="0.25">
      <c r="A573" s="27">
        <v>45588</v>
      </c>
      <c r="B573" s="29">
        <f>MONTH(W_カレンダー[[#This Row],[日付]])</f>
        <v>10</v>
      </c>
      <c r="C573" s="1">
        <f>YEAR(W_カレンダー[[#This Row],[日付]])</f>
        <v>2024</v>
      </c>
      <c r="D573" s="1">
        <f>IF(W_カレンダー[[#This Row],[月]]&lt;=3,W_カレンダー[[#This Row],[暦年]]-1,W_カレンダー[[#This Row],[暦年]])</f>
        <v>2024</v>
      </c>
      <c r="E573" s="1" t="str">
        <f>IF(W_カレンダー[[#This Row],[月]]&lt;=3,"Q4",IF(W_カレンダー[[#This Row],[月]]&lt;=6,"Q1",IF(W_カレンダー[[#This Row],[月]]&lt;=9,"Q2","Q3")))</f>
        <v>Q3</v>
      </c>
    </row>
    <row r="574" spans="1:5" ht="18" customHeight="1" x14ac:dyDescent="0.25">
      <c r="A574" s="27">
        <v>45589</v>
      </c>
      <c r="B574" s="29">
        <f>MONTH(W_カレンダー[[#This Row],[日付]])</f>
        <v>10</v>
      </c>
      <c r="C574" s="1">
        <f>YEAR(W_カレンダー[[#This Row],[日付]])</f>
        <v>2024</v>
      </c>
      <c r="D574" s="1">
        <f>IF(W_カレンダー[[#This Row],[月]]&lt;=3,W_カレンダー[[#This Row],[暦年]]-1,W_カレンダー[[#This Row],[暦年]])</f>
        <v>2024</v>
      </c>
      <c r="E574" s="1" t="str">
        <f>IF(W_カレンダー[[#This Row],[月]]&lt;=3,"Q4",IF(W_カレンダー[[#This Row],[月]]&lt;=6,"Q1",IF(W_カレンダー[[#This Row],[月]]&lt;=9,"Q2","Q3")))</f>
        <v>Q3</v>
      </c>
    </row>
    <row r="575" spans="1:5" ht="18" customHeight="1" x14ac:dyDescent="0.25">
      <c r="A575" s="27">
        <v>45590</v>
      </c>
      <c r="B575" s="29">
        <f>MONTH(W_カレンダー[[#This Row],[日付]])</f>
        <v>10</v>
      </c>
      <c r="C575" s="1">
        <f>YEAR(W_カレンダー[[#This Row],[日付]])</f>
        <v>2024</v>
      </c>
      <c r="D575" s="1">
        <f>IF(W_カレンダー[[#This Row],[月]]&lt;=3,W_カレンダー[[#This Row],[暦年]]-1,W_カレンダー[[#This Row],[暦年]])</f>
        <v>2024</v>
      </c>
      <c r="E575" s="1" t="str">
        <f>IF(W_カレンダー[[#This Row],[月]]&lt;=3,"Q4",IF(W_カレンダー[[#This Row],[月]]&lt;=6,"Q1",IF(W_カレンダー[[#This Row],[月]]&lt;=9,"Q2","Q3")))</f>
        <v>Q3</v>
      </c>
    </row>
    <row r="576" spans="1:5" ht="18" customHeight="1" x14ac:dyDescent="0.25">
      <c r="A576" s="27">
        <v>45591</v>
      </c>
      <c r="B576" s="29">
        <f>MONTH(W_カレンダー[[#This Row],[日付]])</f>
        <v>10</v>
      </c>
      <c r="C576" s="1">
        <f>YEAR(W_カレンダー[[#This Row],[日付]])</f>
        <v>2024</v>
      </c>
      <c r="D576" s="1">
        <f>IF(W_カレンダー[[#This Row],[月]]&lt;=3,W_カレンダー[[#This Row],[暦年]]-1,W_カレンダー[[#This Row],[暦年]])</f>
        <v>2024</v>
      </c>
      <c r="E576" s="1" t="str">
        <f>IF(W_カレンダー[[#This Row],[月]]&lt;=3,"Q4",IF(W_カレンダー[[#This Row],[月]]&lt;=6,"Q1",IF(W_カレンダー[[#This Row],[月]]&lt;=9,"Q2","Q3")))</f>
        <v>Q3</v>
      </c>
    </row>
    <row r="577" spans="1:5" ht="18" customHeight="1" x14ac:dyDescent="0.25">
      <c r="A577" s="27">
        <v>45592</v>
      </c>
      <c r="B577" s="29">
        <f>MONTH(W_カレンダー[[#This Row],[日付]])</f>
        <v>10</v>
      </c>
      <c r="C577" s="1">
        <f>YEAR(W_カレンダー[[#This Row],[日付]])</f>
        <v>2024</v>
      </c>
      <c r="D577" s="1">
        <f>IF(W_カレンダー[[#This Row],[月]]&lt;=3,W_カレンダー[[#This Row],[暦年]]-1,W_カレンダー[[#This Row],[暦年]])</f>
        <v>2024</v>
      </c>
      <c r="E577" s="1" t="str">
        <f>IF(W_カレンダー[[#This Row],[月]]&lt;=3,"Q4",IF(W_カレンダー[[#This Row],[月]]&lt;=6,"Q1",IF(W_カレンダー[[#This Row],[月]]&lt;=9,"Q2","Q3")))</f>
        <v>Q3</v>
      </c>
    </row>
    <row r="578" spans="1:5" ht="18" customHeight="1" x14ac:dyDescent="0.25">
      <c r="A578" s="27">
        <v>45593</v>
      </c>
      <c r="B578" s="29">
        <f>MONTH(W_カレンダー[[#This Row],[日付]])</f>
        <v>10</v>
      </c>
      <c r="C578" s="1">
        <f>YEAR(W_カレンダー[[#This Row],[日付]])</f>
        <v>2024</v>
      </c>
      <c r="D578" s="1">
        <f>IF(W_カレンダー[[#This Row],[月]]&lt;=3,W_カレンダー[[#This Row],[暦年]]-1,W_カレンダー[[#This Row],[暦年]])</f>
        <v>2024</v>
      </c>
      <c r="E578" s="1" t="str">
        <f>IF(W_カレンダー[[#This Row],[月]]&lt;=3,"Q4",IF(W_カレンダー[[#This Row],[月]]&lt;=6,"Q1",IF(W_カレンダー[[#This Row],[月]]&lt;=9,"Q2","Q3")))</f>
        <v>Q3</v>
      </c>
    </row>
    <row r="579" spans="1:5" ht="18" customHeight="1" x14ac:dyDescent="0.25">
      <c r="A579" s="27">
        <v>45594</v>
      </c>
      <c r="B579" s="29">
        <f>MONTH(W_カレンダー[[#This Row],[日付]])</f>
        <v>10</v>
      </c>
      <c r="C579" s="1">
        <f>YEAR(W_カレンダー[[#This Row],[日付]])</f>
        <v>2024</v>
      </c>
      <c r="D579" s="1">
        <f>IF(W_カレンダー[[#This Row],[月]]&lt;=3,W_カレンダー[[#This Row],[暦年]]-1,W_カレンダー[[#This Row],[暦年]])</f>
        <v>2024</v>
      </c>
      <c r="E579" s="1" t="str">
        <f>IF(W_カレンダー[[#This Row],[月]]&lt;=3,"Q4",IF(W_カレンダー[[#This Row],[月]]&lt;=6,"Q1",IF(W_カレンダー[[#This Row],[月]]&lt;=9,"Q2","Q3")))</f>
        <v>Q3</v>
      </c>
    </row>
    <row r="580" spans="1:5" ht="18" customHeight="1" x14ac:dyDescent="0.25">
      <c r="A580" s="27">
        <v>45595</v>
      </c>
      <c r="B580" s="29">
        <f>MONTH(W_カレンダー[[#This Row],[日付]])</f>
        <v>10</v>
      </c>
      <c r="C580" s="1">
        <f>YEAR(W_カレンダー[[#This Row],[日付]])</f>
        <v>2024</v>
      </c>
      <c r="D580" s="1">
        <f>IF(W_カレンダー[[#This Row],[月]]&lt;=3,W_カレンダー[[#This Row],[暦年]]-1,W_カレンダー[[#This Row],[暦年]])</f>
        <v>2024</v>
      </c>
      <c r="E580" s="1" t="str">
        <f>IF(W_カレンダー[[#This Row],[月]]&lt;=3,"Q4",IF(W_カレンダー[[#This Row],[月]]&lt;=6,"Q1",IF(W_カレンダー[[#This Row],[月]]&lt;=9,"Q2","Q3")))</f>
        <v>Q3</v>
      </c>
    </row>
    <row r="581" spans="1:5" ht="18" customHeight="1" x14ac:dyDescent="0.25">
      <c r="A581" s="27">
        <v>45596</v>
      </c>
      <c r="B581" s="29">
        <f>MONTH(W_カレンダー[[#This Row],[日付]])</f>
        <v>10</v>
      </c>
      <c r="C581" s="1">
        <f>YEAR(W_カレンダー[[#This Row],[日付]])</f>
        <v>2024</v>
      </c>
      <c r="D581" s="1">
        <f>IF(W_カレンダー[[#This Row],[月]]&lt;=3,W_カレンダー[[#This Row],[暦年]]-1,W_カレンダー[[#This Row],[暦年]])</f>
        <v>2024</v>
      </c>
      <c r="E581" s="1" t="str">
        <f>IF(W_カレンダー[[#This Row],[月]]&lt;=3,"Q4",IF(W_カレンダー[[#This Row],[月]]&lt;=6,"Q1",IF(W_カレンダー[[#This Row],[月]]&lt;=9,"Q2","Q3")))</f>
        <v>Q3</v>
      </c>
    </row>
    <row r="582" spans="1:5" ht="18" customHeight="1" x14ac:dyDescent="0.25">
      <c r="A582" s="27">
        <v>45597</v>
      </c>
      <c r="B582" s="29">
        <f>MONTH(W_カレンダー[[#This Row],[日付]])</f>
        <v>11</v>
      </c>
      <c r="C582" s="1">
        <f>YEAR(W_カレンダー[[#This Row],[日付]])</f>
        <v>2024</v>
      </c>
      <c r="D582" s="1">
        <f>IF(W_カレンダー[[#This Row],[月]]&lt;=3,W_カレンダー[[#This Row],[暦年]]-1,W_カレンダー[[#This Row],[暦年]])</f>
        <v>2024</v>
      </c>
      <c r="E582" s="1" t="str">
        <f>IF(W_カレンダー[[#This Row],[月]]&lt;=3,"Q4",IF(W_カレンダー[[#This Row],[月]]&lt;=6,"Q1",IF(W_カレンダー[[#This Row],[月]]&lt;=9,"Q2","Q3")))</f>
        <v>Q3</v>
      </c>
    </row>
    <row r="583" spans="1:5" ht="18" customHeight="1" x14ac:dyDescent="0.25">
      <c r="A583" s="27">
        <v>45598</v>
      </c>
      <c r="B583" s="29">
        <f>MONTH(W_カレンダー[[#This Row],[日付]])</f>
        <v>11</v>
      </c>
      <c r="C583" s="1">
        <f>YEAR(W_カレンダー[[#This Row],[日付]])</f>
        <v>2024</v>
      </c>
      <c r="D583" s="1">
        <f>IF(W_カレンダー[[#This Row],[月]]&lt;=3,W_カレンダー[[#This Row],[暦年]]-1,W_カレンダー[[#This Row],[暦年]])</f>
        <v>2024</v>
      </c>
      <c r="E583" s="1" t="str">
        <f>IF(W_カレンダー[[#This Row],[月]]&lt;=3,"Q4",IF(W_カレンダー[[#This Row],[月]]&lt;=6,"Q1",IF(W_カレンダー[[#This Row],[月]]&lt;=9,"Q2","Q3")))</f>
        <v>Q3</v>
      </c>
    </row>
    <row r="584" spans="1:5" ht="18" customHeight="1" x14ac:dyDescent="0.25">
      <c r="A584" s="27">
        <v>45599</v>
      </c>
      <c r="B584" s="29">
        <f>MONTH(W_カレンダー[[#This Row],[日付]])</f>
        <v>11</v>
      </c>
      <c r="C584" s="1">
        <f>YEAR(W_カレンダー[[#This Row],[日付]])</f>
        <v>2024</v>
      </c>
      <c r="D584" s="1">
        <f>IF(W_カレンダー[[#This Row],[月]]&lt;=3,W_カレンダー[[#This Row],[暦年]]-1,W_カレンダー[[#This Row],[暦年]])</f>
        <v>2024</v>
      </c>
      <c r="E584" s="1" t="str">
        <f>IF(W_カレンダー[[#This Row],[月]]&lt;=3,"Q4",IF(W_カレンダー[[#This Row],[月]]&lt;=6,"Q1",IF(W_カレンダー[[#This Row],[月]]&lt;=9,"Q2","Q3")))</f>
        <v>Q3</v>
      </c>
    </row>
    <row r="585" spans="1:5" ht="18" customHeight="1" x14ac:dyDescent="0.25">
      <c r="A585" s="27">
        <v>45600</v>
      </c>
      <c r="B585" s="29">
        <f>MONTH(W_カレンダー[[#This Row],[日付]])</f>
        <v>11</v>
      </c>
      <c r="C585" s="1">
        <f>YEAR(W_カレンダー[[#This Row],[日付]])</f>
        <v>2024</v>
      </c>
      <c r="D585" s="1">
        <f>IF(W_カレンダー[[#This Row],[月]]&lt;=3,W_カレンダー[[#This Row],[暦年]]-1,W_カレンダー[[#This Row],[暦年]])</f>
        <v>2024</v>
      </c>
      <c r="E585" s="1" t="str">
        <f>IF(W_カレンダー[[#This Row],[月]]&lt;=3,"Q4",IF(W_カレンダー[[#This Row],[月]]&lt;=6,"Q1",IF(W_カレンダー[[#This Row],[月]]&lt;=9,"Q2","Q3")))</f>
        <v>Q3</v>
      </c>
    </row>
    <row r="586" spans="1:5" ht="18" customHeight="1" x14ac:dyDescent="0.25">
      <c r="A586" s="27">
        <v>45601</v>
      </c>
      <c r="B586" s="29">
        <f>MONTH(W_カレンダー[[#This Row],[日付]])</f>
        <v>11</v>
      </c>
      <c r="C586" s="1">
        <f>YEAR(W_カレンダー[[#This Row],[日付]])</f>
        <v>2024</v>
      </c>
      <c r="D586" s="1">
        <f>IF(W_カレンダー[[#This Row],[月]]&lt;=3,W_カレンダー[[#This Row],[暦年]]-1,W_カレンダー[[#This Row],[暦年]])</f>
        <v>2024</v>
      </c>
      <c r="E586" s="1" t="str">
        <f>IF(W_カレンダー[[#This Row],[月]]&lt;=3,"Q4",IF(W_カレンダー[[#This Row],[月]]&lt;=6,"Q1",IF(W_カレンダー[[#This Row],[月]]&lt;=9,"Q2","Q3")))</f>
        <v>Q3</v>
      </c>
    </row>
    <row r="587" spans="1:5" ht="18" customHeight="1" x14ac:dyDescent="0.25">
      <c r="A587" s="27">
        <v>45602</v>
      </c>
      <c r="B587" s="29">
        <f>MONTH(W_カレンダー[[#This Row],[日付]])</f>
        <v>11</v>
      </c>
      <c r="C587" s="1">
        <f>YEAR(W_カレンダー[[#This Row],[日付]])</f>
        <v>2024</v>
      </c>
      <c r="D587" s="1">
        <f>IF(W_カレンダー[[#This Row],[月]]&lt;=3,W_カレンダー[[#This Row],[暦年]]-1,W_カレンダー[[#This Row],[暦年]])</f>
        <v>2024</v>
      </c>
      <c r="E587" s="1" t="str">
        <f>IF(W_カレンダー[[#This Row],[月]]&lt;=3,"Q4",IF(W_カレンダー[[#This Row],[月]]&lt;=6,"Q1",IF(W_カレンダー[[#This Row],[月]]&lt;=9,"Q2","Q3")))</f>
        <v>Q3</v>
      </c>
    </row>
    <row r="588" spans="1:5" ht="18" customHeight="1" x14ac:dyDescent="0.25">
      <c r="A588" s="27">
        <v>45603</v>
      </c>
      <c r="B588" s="29">
        <f>MONTH(W_カレンダー[[#This Row],[日付]])</f>
        <v>11</v>
      </c>
      <c r="C588" s="1">
        <f>YEAR(W_カレンダー[[#This Row],[日付]])</f>
        <v>2024</v>
      </c>
      <c r="D588" s="1">
        <f>IF(W_カレンダー[[#This Row],[月]]&lt;=3,W_カレンダー[[#This Row],[暦年]]-1,W_カレンダー[[#This Row],[暦年]])</f>
        <v>2024</v>
      </c>
      <c r="E588" s="1" t="str">
        <f>IF(W_カレンダー[[#This Row],[月]]&lt;=3,"Q4",IF(W_カレンダー[[#This Row],[月]]&lt;=6,"Q1",IF(W_カレンダー[[#This Row],[月]]&lt;=9,"Q2","Q3")))</f>
        <v>Q3</v>
      </c>
    </row>
    <row r="589" spans="1:5" ht="18" customHeight="1" x14ac:dyDescent="0.25">
      <c r="A589" s="27">
        <v>45604</v>
      </c>
      <c r="B589" s="29">
        <f>MONTH(W_カレンダー[[#This Row],[日付]])</f>
        <v>11</v>
      </c>
      <c r="C589" s="1">
        <f>YEAR(W_カレンダー[[#This Row],[日付]])</f>
        <v>2024</v>
      </c>
      <c r="D589" s="1">
        <f>IF(W_カレンダー[[#This Row],[月]]&lt;=3,W_カレンダー[[#This Row],[暦年]]-1,W_カレンダー[[#This Row],[暦年]])</f>
        <v>2024</v>
      </c>
      <c r="E589" s="1" t="str">
        <f>IF(W_カレンダー[[#This Row],[月]]&lt;=3,"Q4",IF(W_カレンダー[[#This Row],[月]]&lt;=6,"Q1",IF(W_カレンダー[[#This Row],[月]]&lt;=9,"Q2","Q3")))</f>
        <v>Q3</v>
      </c>
    </row>
    <row r="590" spans="1:5" ht="18" customHeight="1" x14ac:dyDescent="0.25">
      <c r="A590" s="27">
        <v>45605</v>
      </c>
      <c r="B590" s="29">
        <f>MONTH(W_カレンダー[[#This Row],[日付]])</f>
        <v>11</v>
      </c>
      <c r="C590" s="1">
        <f>YEAR(W_カレンダー[[#This Row],[日付]])</f>
        <v>2024</v>
      </c>
      <c r="D590" s="1">
        <f>IF(W_カレンダー[[#This Row],[月]]&lt;=3,W_カレンダー[[#This Row],[暦年]]-1,W_カレンダー[[#This Row],[暦年]])</f>
        <v>2024</v>
      </c>
      <c r="E590" s="1" t="str">
        <f>IF(W_カレンダー[[#This Row],[月]]&lt;=3,"Q4",IF(W_カレンダー[[#This Row],[月]]&lt;=6,"Q1",IF(W_カレンダー[[#This Row],[月]]&lt;=9,"Q2","Q3")))</f>
        <v>Q3</v>
      </c>
    </row>
    <row r="591" spans="1:5" ht="18" customHeight="1" x14ac:dyDescent="0.25">
      <c r="A591" s="27">
        <v>45606</v>
      </c>
      <c r="B591" s="29">
        <f>MONTH(W_カレンダー[[#This Row],[日付]])</f>
        <v>11</v>
      </c>
      <c r="C591" s="1">
        <f>YEAR(W_カレンダー[[#This Row],[日付]])</f>
        <v>2024</v>
      </c>
      <c r="D591" s="1">
        <f>IF(W_カレンダー[[#This Row],[月]]&lt;=3,W_カレンダー[[#This Row],[暦年]]-1,W_カレンダー[[#This Row],[暦年]])</f>
        <v>2024</v>
      </c>
      <c r="E591" s="1" t="str">
        <f>IF(W_カレンダー[[#This Row],[月]]&lt;=3,"Q4",IF(W_カレンダー[[#This Row],[月]]&lt;=6,"Q1",IF(W_カレンダー[[#This Row],[月]]&lt;=9,"Q2","Q3")))</f>
        <v>Q3</v>
      </c>
    </row>
    <row r="592" spans="1:5" ht="18" customHeight="1" x14ac:dyDescent="0.25">
      <c r="A592" s="27">
        <v>45607</v>
      </c>
      <c r="B592" s="29">
        <f>MONTH(W_カレンダー[[#This Row],[日付]])</f>
        <v>11</v>
      </c>
      <c r="C592" s="1">
        <f>YEAR(W_カレンダー[[#This Row],[日付]])</f>
        <v>2024</v>
      </c>
      <c r="D592" s="1">
        <f>IF(W_カレンダー[[#This Row],[月]]&lt;=3,W_カレンダー[[#This Row],[暦年]]-1,W_カレンダー[[#This Row],[暦年]])</f>
        <v>2024</v>
      </c>
      <c r="E592" s="1" t="str">
        <f>IF(W_カレンダー[[#This Row],[月]]&lt;=3,"Q4",IF(W_カレンダー[[#This Row],[月]]&lt;=6,"Q1",IF(W_カレンダー[[#This Row],[月]]&lt;=9,"Q2","Q3")))</f>
        <v>Q3</v>
      </c>
    </row>
    <row r="593" spans="1:5" ht="18" customHeight="1" x14ac:dyDescent="0.25">
      <c r="A593" s="27">
        <v>45608</v>
      </c>
      <c r="B593" s="29">
        <f>MONTH(W_カレンダー[[#This Row],[日付]])</f>
        <v>11</v>
      </c>
      <c r="C593" s="1">
        <f>YEAR(W_カレンダー[[#This Row],[日付]])</f>
        <v>2024</v>
      </c>
      <c r="D593" s="1">
        <f>IF(W_カレンダー[[#This Row],[月]]&lt;=3,W_カレンダー[[#This Row],[暦年]]-1,W_カレンダー[[#This Row],[暦年]])</f>
        <v>2024</v>
      </c>
      <c r="E593" s="1" t="str">
        <f>IF(W_カレンダー[[#This Row],[月]]&lt;=3,"Q4",IF(W_カレンダー[[#This Row],[月]]&lt;=6,"Q1",IF(W_カレンダー[[#This Row],[月]]&lt;=9,"Q2","Q3")))</f>
        <v>Q3</v>
      </c>
    </row>
    <row r="594" spans="1:5" ht="18" customHeight="1" x14ac:dyDescent="0.25">
      <c r="A594" s="27">
        <v>45609</v>
      </c>
      <c r="B594" s="29">
        <f>MONTH(W_カレンダー[[#This Row],[日付]])</f>
        <v>11</v>
      </c>
      <c r="C594" s="1">
        <f>YEAR(W_カレンダー[[#This Row],[日付]])</f>
        <v>2024</v>
      </c>
      <c r="D594" s="1">
        <f>IF(W_カレンダー[[#This Row],[月]]&lt;=3,W_カレンダー[[#This Row],[暦年]]-1,W_カレンダー[[#This Row],[暦年]])</f>
        <v>2024</v>
      </c>
      <c r="E594" s="1" t="str">
        <f>IF(W_カレンダー[[#This Row],[月]]&lt;=3,"Q4",IF(W_カレンダー[[#This Row],[月]]&lt;=6,"Q1",IF(W_カレンダー[[#This Row],[月]]&lt;=9,"Q2","Q3")))</f>
        <v>Q3</v>
      </c>
    </row>
    <row r="595" spans="1:5" ht="18" customHeight="1" x14ac:dyDescent="0.25">
      <c r="A595" s="27">
        <v>45610</v>
      </c>
      <c r="B595" s="29">
        <f>MONTH(W_カレンダー[[#This Row],[日付]])</f>
        <v>11</v>
      </c>
      <c r="C595" s="1">
        <f>YEAR(W_カレンダー[[#This Row],[日付]])</f>
        <v>2024</v>
      </c>
      <c r="D595" s="1">
        <f>IF(W_カレンダー[[#This Row],[月]]&lt;=3,W_カレンダー[[#This Row],[暦年]]-1,W_カレンダー[[#This Row],[暦年]])</f>
        <v>2024</v>
      </c>
      <c r="E595" s="1" t="str">
        <f>IF(W_カレンダー[[#This Row],[月]]&lt;=3,"Q4",IF(W_カレンダー[[#This Row],[月]]&lt;=6,"Q1",IF(W_カレンダー[[#This Row],[月]]&lt;=9,"Q2","Q3")))</f>
        <v>Q3</v>
      </c>
    </row>
    <row r="596" spans="1:5" ht="18" customHeight="1" x14ac:dyDescent="0.25">
      <c r="A596" s="27">
        <v>45611</v>
      </c>
      <c r="B596" s="29">
        <f>MONTH(W_カレンダー[[#This Row],[日付]])</f>
        <v>11</v>
      </c>
      <c r="C596" s="1">
        <f>YEAR(W_カレンダー[[#This Row],[日付]])</f>
        <v>2024</v>
      </c>
      <c r="D596" s="1">
        <f>IF(W_カレンダー[[#This Row],[月]]&lt;=3,W_カレンダー[[#This Row],[暦年]]-1,W_カレンダー[[#This Row],[暦年]])</f>
        <v>2024</v>
      </c>
      <c r="E596" s="1" t="str">
        <f>IF(W_カレンダー[[#This Row],[月]]&lt;=3,"Q4",IF(W_カレンダー[[#This Row],[月]]&lt;=6,"Q1",IF(W_カレンダー[[#This Row],[月]]&lt;=9,"Q2","Q3")))</f>
        <v>Q3</v>
      </c>
    </row>
    <row r="597" spans="1:5" ht="18" customHeight="1" x14ac:dyDescent="0.25">
      <c r="A597" s="27">
        <v>45612</v>
      </c>
      <c r="B597" s="29">
        <f>MONTH(W_カレンダー[[#This Row],[日付]])</f>
        <v>11</v>
      </c>
      <c r="C597" s="1">
        <f>YEAR(W_カレンダー[[#This Row],[日付]])</f>
        <v>2024</v>
      </c>
      <c r="D597" s="1">
        <f>IF(W_カレンダー[[#This Row],[月]]&lt;=3,W_カレンダー[[#This Row],[暦年]]-1,W_カレンダー[[#This Row],[暦年]])</f>
        <v>2024</v>
      </c>
      <c r="E597" s="1" t="str">
        <f>IF(W_カレンダー[[#This Row],[月]]&lt;=3,"Q4",IF(W_カレンダー[[#This Row],[月]]&lt;=6,"Q1",IF(W_カレンダー[[#This Row],[月]]&lt;=9,"Q2","Q3")))</f>
        <v>Q3</v>
      </c>
    </row>
    <row r="598" spans="1:5" ht="18" customHeight="1" x14ac:dyDescent="0.25">
      <c r="A598" s="27">
        <v>45613</v>
      </c>
      <c r="B598" s="29">
        <f>MONTH(W_カレンダー[[#This Row],[日付]])</f>
        <v>11</v>
      </c>
      <c r="C598" s="1">
        <f>YEAR(W_カレンダー[[#This Row],[日付]])</f>
        <v>2024</v>
      </c>
      <c r="D598" s="1">
        <f>IF(W_カレンダー[[#This Row],[月]]&lt;=3,W_カレンダー[[#This Row],[暦年]]-1,W_カレンダー[[#This Row],[暦年]])</f>
        <v>2024</v>
      </c>
      <c r="E598" s="1" t="str">
        <f>IF(W_カレンダー[[#This Row],[月]]&lt;=3,"Q4",IF(W_カレンダー[[#This Row],[月]]&lt;=6,"Q1",IF(W_カレンダー[[#This Row],[月]]&lt;=9,"Q2","Q3")))</f>
        <v>Q3</v>
      </c>
    </row>
    <row r="599" spans="1:5" ht="18" customHeight="1" x14ac:dyDescent="0.25">
      <c r="A599" s="27">
        <v>45614</v>
      </c>
      <c r="B599" s="29">
        <f>MONTH(W_カレンダー[[#This Row],[日付]])</f>
        <v>11</v>
      </c>
      <c r="C599" s="1">
        <f>YEAR(W_カレンダー[[#This Row],[日付]])</f>
        <v>2024</v>
      </c>
      <c r="D599" s="1">
        <f>IF(W_カレンダー[[#This Row],[月]]&lt;=3,W_カレンダー[[#This Row],[暦年]]-1,W_カレンダー[[#This Row],[暦年]])</f>
        <v>2024</v>
      </c>
      <c r="E599" s="1" t="str">
        <f>IF(W_カレンダー[[#This Row],[月]]&lt;=3,"Q4",IF(W_カレンダー[[#This Row],[月]]&lt;=6,"Q1",IF(W_カレンダー[[#This Row],[月]]&lt;=9,"Q2","Q3")))</f>
        <v>Q3</v>
      </c>
    </row>
    <row r="600" spans="1:5" ht="18" customHeight="1" x14ac:dyDescent="0.25">
      <c r="A600" s="27">
        <v>45615</v>
      </c>
      <c r="B600" s="29">
        <f>MONTH(W_カレンダー[[#This Row],[日付]])</f>
        <v>11</v>
      </c>
      <c r="C600" s="1">
        <f>YEAR(W_カレンダー[[#This Row],[日付]])</f>
        <v>2024</v>
      </c>
      <c r="D600" s="1">
        <f>IF(W_カレンダー[[#This Row],[月]]&lt;=3,W_カレンダー[[#This Row],[暦年]]-1,W_カレンダー[[#This Row],[暦年]])</f>
        <v>2024</v>
      </c>
      <c r="E600" s="1" t="str">
        <f>IF(W_カレンダー[[#This Row],[月]]&lt;=3,"Q4",IF(W_カレンダー[[#This Row],[月]]&lt;=6,"Q1",IF(W_カレンダー[[#This Row],[月]]&lt;=9,"Q2","Q3")))</f>
        <v>Q3</v>
      </c>
    </row>
    <row r="601" spans="1:5" ht="18" customHeight="1" x14ac:dyDescent="0.25">
      <c r="A601" s="27">
        <v>45616</v>
      </c>
      <c r="B601" s="29">
        <f>MONTH(W_カレンダー[[#This Row],[日付]])</f>
        <v>11</v>
      </c>
      <c r="C601" s="1">
        <f>YEAR(W_カレンダー[[#This Row],[日付]])</f>
        <v>2024</v>
      </c>
      <c r="D601" s="1">
        <f>IF(W_カレンダー[[#This Row],[月]]&lt;=3,W_カレンダー[[#This Row],[暦年]]-1,W_カレンダー[[#This Row],[暦年]])</f>
        <v>2024</v>
      </c>
      <c r="E601" s="1" t="str">
        <f>IF(W_カレンダー[[#This Row],[月]]&lt;=3,"Q4",IF(W_カレンダー[[#This Row],[月]]&lt;=6,"Q1",IF(W_カレンダー[[#This Row],[月]]&lt;=9,"Q2","Q3")))</f>
        <v>Q3</v>
      </c>
    </row>
    <row r="602" spans="1:5" ht="18" customHeight="1" x14ac:dyDescent="0.25">
      <c r="A602" s="27">
        <v>45617</v>
      </c>
      <c r="B602" s="29">
        <f>MONTH(W_カレンダー[[#This Row],[日付]])</f>
        <v>11</v>
      </c>
      <c r="C602" s="1">
        <f>YEAR(W_カレンダー[[#This Row],[日付]])</f>
        <v>2024</v>
      </c>
      <c r="D602" s="1">
        <f>IF(W_カレンダー[[#This Row],[月]]&lt;=3,W_カレンダー[[#This Row],[暦年]]-1,W_カレンダー[[#This Row],[暦年]])</f>
        <v>2024</v>
      </c>
      <c r="E602" s="1" t="str">
        <f>IF(W_カレンダー[[#This Row],[月]]&lt;=3,"Q4",IF(W_カレンダー[[#This Row],[月]]&lt;=6,"Q1",IF(W_カレンダー[[#This Row],[月]]&lt;=9,"Q2","Q3")))</f>
        <v>Q3</v>
      </c>
    </row>
    <row r="603" spans="1:5" ht="18" customHeight="1" x14ac:dyDescent="0.25">
      <c r="A603" s="27">
        <v>45618</v>
      </c>
      <c r="B603" s="29">
        <f>MONTH(W_カレンダー[[#This Row],[日付]])</f>
        <v>11</v>
      </c>
      <c r="C603" s="1">
        <f>YEAR(W_カレンダー[[#This Row],[日付]])</f>
        <v>2024</v>
      </c>
      <c r="D603" s="1">
        <f>IF(W_カレンダー[[#This Row],[月]]&lt;=3,W_カレンダー[[#This Row],[暦年]]-1,W_カレンダー[[#This Row],[暦年]])</f>
        <v>2024</v>
      </c>
      <c r="E603" s="1" t="str">
        <f>IF(W_カレンダー[[#This Row],[月]]&lt;=3,"Q4",IF(W_カレンダー[[#This Row],[月]]&lt;=6,"Q1",IF(W_カレンダー[[#This Row],[月]]&lt;=9,"Q2","Q3")))</f>
        <v>Q3</v>
      </c>
    </row>
    <row r="604" spans="1:5" ht="18" customHeight="1" x14ac:dyDescent="0.25">
      <c r="A604" s="27">
        <v>45619</v>
      </c>
      <c r="B604" s="29">
        <f>MONTH(W_カレンダー[[#This Row],[日付]])</f>
        <v>11</v>
      </c>
      <c r="C604" s="1">
        <f>YEAR(W_カレンダー[[#This Row],[日付]])</f>
        <v>2024</v>
      </c>
      <c r="D604" s="1">
        <f>IF(W_カレンダー[[#This Row],[月]]&lt;=3,W_カレンダー[[#This Row],[暦年]]-1,W_カレンダー[[#This Row],[暦年]])</f>
        <v>2024</v>
      </c>
      <c r="E604" s="1" t="str">
        <f>IF(W_カレンダー[[#This Row],[月]]&lt;=3,"Q4",IF(W_カレンダー[[#This Row],[月]]&lt;=6,"Q1",IF(W_カレンダー[[#This Row],[月]]&lt;=9,"Q2","Q3")))</f>
        <v>Q3</v>
      </c>
    </row>
    <row r="605" spans="1:5" ht="18" customHeight="1" x14ac:dyDescent="0.25">
      <c r="A605" s="27">
        <v>45620</v>
      </c>
      <c r="B605" s="29">
        <f>MONTH(W_カレンダー[[#This Row],[日付]])</f>
        <v>11</v>
      </c>
      <c r="C605" s="1">
        <f>YEAR(W_カレンダー[[#This Row],[日付]])</f>
        <v>2024</v>
      </c>
      <c r="D605" s="1">
        <f>IF(W_カレンダー[[#This Row],[月]]&lt;=3,W_カレンダー[[#This Row],[暦年]]-1,W_カレンダー[[#This Row],[暦年]])</f>
        <v>2024</v>
      </c>
      <c r="E605" s="1" t="str">
        <f>IF(W_カレンダー[[#This Row],[月]]&lt;=3,"Q4",IF(W_カレンダー[[#This Row],[月]]&lt;=6,"Q1",IF(W_カレンダー[[#This Row],[月]]&lt;=9,"Q2","Q3")))</f>
        <v>Q3</v>
      </c>
    </row>
    <row r="606" spans="1:5" ht="18" customHeight="1" x14ac:dyDescent="0.25">
      <c r="A606" s="27">
        <v>45621</v>
      </c>
      <c r="B606" s="29">
        <f>MONTH(W_カレンダー[[#This Row],[日付]])</f>
        <v>11</v>
      </c>
      <c r="C606" s="1">
        <f>YEAR(W_カレンダー[[#This Row],[日付]])</f>
        <v>2024</v>
      </c>
      <c r="D606" s="1">
        <f>IF(W_カレンダー[[#This Row],[月]]&lt;=3,W_カレンダー[[#This Row],[暦年]]-1,W_カレンダー[[#This Row],[暦年]])</f>
        <v>2024</v>
      </c>
      <c r="E606" s="1" t="str">
        <f>IF(W_カレンダー[[#This Row],[月]]&lt;=3,"Q4",IF(W_カレンダー[[#This Row],[月]]&lt;=6,"Q1",IF(W_カレンダー[[#This Row],[月]]&lt;=9,"Q2","Q3")))</f>
        <v>Q3</v>
      </c>
    </row>
    <row r="607" spans="1:5" ht="18" customHeight="1" x14ac:dyDescent="0.25">
      <c r="A607" s="27">
        <v>45622</v>
      </c>
      <c r="B607" s="29">
        <f>MONTH(W_カレンダー[[#This Row],[日付]])</f>
        <v>11</v>
      </c>
      <c r="C607" s="1">
        <f>YEAR(W_カレンダー[[#This Row],[日付]])</f>
        <v>2024</v>
      </c>
      <c r="D607" s="1">
        <f>IF(W_カレンダー[[#This Row],[月]]&lt;=3,W_カレンダー[[#This Row],[暦年]]-1,W_カレンダー[[#This Row],[暦年]])</f>
        <v>2024</v>
      </c>
      <c r="E607" s="1" t="str">
        <f>IF(W_カレンダー[[#This Row],[月]]&lt;=3,"Q4",IF(W_カレンダー[[#This Row],[月]]&lt;=6,"Q1",IF(W_カレンダー[[#This Row],[月]]&lt;=9,"Q2","Q3")))</f>
        <v>Q3</v>
      </c>
    </row>
    <row r="608" spans="1:5" ht="18" customHeight="1" x14ac:dyDescent="0.25">
      <c r="A608" s="27">
        <v>45623</v>
      </c>
      <c r="B608" s="29">
        <f>MONTH(W_カレンダー[[#This Row],[日付]])</f>
        <v>11</v>
      </c>
      <c r="C608" s="1">
        <f>YEAR(W_カレンダー[[#This Row],[日付]])</f>
        <v>2024</v>
      </c>
      <c r="D608" s="1">
        <f>IF(W_カレンダー[[#This Row],[月]]&lt;=3,W_カレンダー[[#This Row],[暦年]]-1,W_カレンダー[[#This Row],[暦年]])</f>
        <v>2024</v>
      </c>
      <c r="E608" s="1" t="str">
        <f>IF(W_カレンダー[[#This Row],[月]]&lt;=3,"Q4",IF(W_カレンダー[[#This Row],[月]]&lt;=6,"Q1",IF(W_カレンダー[[#This Row],[月]]&lt;=9,"Q2","Q3")))</f>
        <v>Q3</v>
      </c>
    </row>
    <row r="609" spans="1:5" ht="18" customHeight="1" x14ac:dyDescent="0.25">
      <c r="A609" s="27">
        <v>45624</v>
      </c>
      <c r="B609" s="29">
        <f>MONTH(W_カレンダー[[#This Row],[日付]])</f>
        <v>11</v>
      </c>
      <c r="C609" s="1">
        <f>YEAR(W_カレンダー[[#This Row],[日付]])</f>
        <v>2024</v>
      </c>
      <c r="D609" s="1">
        <f>IF(W_カレンダー[[#This Row],[月]]&lt;=3,W_カレンダー[[#This Row],[暦年]]-1,W_カレンダー[[#This Row],[暦年]])</f>
        <v>2024</v>
      </c>
      <c r="E609" s="1" t="str">
        <f>IF(W_カレンダー[[#This Row],[月]]&lt;=3,"Q4",IF(W_カレンダー[[#This Row],[月]]&lt;=6,"Q1",IF(W_カレンダー[[#This Row],[月]]&lt;=9,"Q2","Q3")))</f>
        <v>Q3</v>
      </c>
    </row>
    <row r="610" spans="1:5" ht="18" customHeight="1" x14ac:dyDescent="0.25">
      <c r="A610" s="27">
        <v>45625</v>
      </c>
      <c r="B610" s="29">
        <f>MONTH(W_カレンダー[[#This Row],[日付]])</f>
        <v>11</v>
      </c>
      <c r="C610" s="1">
        <f>YEAR(W_カレンダー[[#This Row],[日付]])</f>
        <v>2024</v>
      </c>
      <c r="D610" s="1">
        <f>IF(W_カレンダー[[#This Row],[月]]&lt;=3,W_カレンダー[[#This Row],[暦年]]-1,W_カレンダー[[#This Row],[暦年]])</f>
        <v>2024</v>
      </c>
      <c r="E610" s="1" t="str">
        <f>IF(W_カレンダー[[#This Row],[月]]&lt;=3,"Q4",IF(W_カレンダー[[#This Row],[月]]&lt;=6,"Q1",IF(W_カレンダー[[#This Row],[月]]&lt;=9,"Q2","Q3")))</f>
        <v>Q3</v>
      </c>
    </row>
    <row r="611" spans="1:5" ht="18" customHeight="1" x14ac:dyDescent="0.25">
      <c r="A611" s="27">
        <v>45626</v>
      </c>
      <c r="B611" s="29">
        <f>MONTH(W_カレンダー[[#This Row],[日付]])</f>
        <v>11</v>
      </c>
      <c r="C611" s="1">
        <f>YEAR(W_カレンダー[[#This Row],[日付]])</f>
        <v>2024</v>
      </c>
      <c r="D611" s="1">
        <f>IF(W_カレンダー[[#This Row],[月]]&lt;=3,W_カレンダー[[#This Row],[暦年]]-1,W_カレンダー[[#This Row],[暦年]])</f>
        <v>2024</v>
      </c>
      <c r="E611" s="1" t="str">
        <f>IF(W_カレンダー[[#This Row],[月]]&lt;=3,"Q4",IF(W_カレンダー[[#This Row],[月]]&lt;=6,"Q1",IF(W_カレンダー[[#This Row],[月]]&lt;=9,"Q2","Q3")))</f>
        <v>Q3</v>
      </c>
    </row>
    <row r="612" spans="1:5" ht="18" customHeight="1" x14ac:dyDescent="0.25">
      <c r="A612" s="27">
        <v>45627</v>
      </c>
      <c r="B612" s="29">
        <f>MONTH(W_カレンダー[[#This Row],[日付]])</f>
        <v>12</v>
      </c>
      <c r="C612" s="1">
        <f>YEAR(W_カレンダー[[#This Row],[日付]])</f>
        <v>2024</v>
      </c>
      <c r="D612" s="1">
        <f>IF(W_カレンダー[[#This Row],[月]]&lt;=3,W_カレンダー[[#This Row],[暦年]]-1,W_カレンダー[[#This Row],[暦年]])</f>
        <v>2024</v>
      </c>
      <c r="E612" s="1" t="str">
        <f>IF(W_カレンダー[[#This Row],[月]]&lt;=3,"Q4",IF(W_カレンダー[[#This Row],[月]]&lt;=6,"Q1",IF(W_カレンダー[[#This Row],[月]]&lt;=9,"Q2","Q3")))</f>
        <v>Q3</v>
      </c>
    </row>
    <row r="613" spans="1:5" ht="18" customHeight="1" x14ac:dyDescent="0.25">
      <c r="A613" s="27">
        <v>45628</v>
      </c>
      <c r="B613" s="29">
        <f>MONTH(W_カレンダー[[#This Row],[日付]])</f>
        <v>12</v>
      </c>
      <c r="C613" s="1">
        <f>YEAR(W_カレンダー[[#This Row],[日付]])</f>
        <v>2024</v>
      </c>
      <c r="D613" s="1">
        <f>IF(W_カレンダー[[#This Row],[月]]&lt;=3,W_カレンダー[[#This Row],[暦年]]-1,W_カレンダー[[#This Row],[暦年]])</f>
        <v>2024</v>
      </c>
      <c r="E613" s="1" t="str">
        <f>IF(W_カレンダー[[#This Row],[月]]&lt;=3,"Q4",IF(W_カレンダー[[#This Row],[月]]&lt;=6,"Q1",IF(W_カレンダー[[#This Row],[月]]&lt;=9,"Q2","Q3")))</f>
        <v>Q3</v>
      </c>
    </row>
    <row r="614" spans="1:5" ht="18" customHeight="1" x14ac:dyDescent="0.25">
      <c r="A614" s="27">
        <v>45629</v>
      </c>
      <c r="B614" s="29">
        <f>MONTH(W_カレンダー[[#This Row],[日付]])</f>
        <v>12</v>
      </c>
      <c r="C614" s="1">
        <f>YEAR(W_カレンダー[[#This Row],[日付]])</f>
        <v>2024</v>
      </c>
      <c r="D614" s="1">
        <f>IF(W_カレンダー[[#This Row],[月]]&lt;=3,W_カレンダー[[#This Row],[暦年]]-1,W_カレンダー[[#This Row],[暦年]])</f>
        <v>2024</v>
      </c>
      <c r="E614" s="1" t="str">
        <f>IF(W_カレンダー[[#This Row],[月]]&lt;=3,"Q4",IF(W_カレンダー[[#This Row],[月]]&lt;=6,"Q1",IF(W_カレンダー[[#This Row],[月]]&lt;=9,"Q2","Q3")))</f>
        <v>Q3</v>
      </c>
    </row>
    <row r="615" spans="1:5" ht="18" customHeight="1" x14ac:dyDescent="0.25">
      <c r="A615" s="27">
        <v>45630</v>
      </c>
      <c r="B615" s="29">
        <f>MONTH(W_カレンダー[[#This Row],[日付]])</f>
        <v>12</v>
      </c>
      <c r="C615" s="1">
        <f>YEAR(W_カレンダー[[#This Row],[日付]])</f>
        <v>2024</v>
      </c>
      <c r="D615" s="1">
        <f>IF(W_カレンダー[[#This Row],[月]]&lt;=3,W_カレンダー[[#This Row],[暦年]]-1,W_カレンダー[[#This Row],[暦年]])</f>
        <v>2024</v>
      </c>
      <c r="E615" s="1" t="str">
        <f>IF(W_カレンダー[[#This Row],[月]]&lt;=3,"Q4",IF(W_カレンダー[[#This Row],[月]]&lt;=6,"Q1",IF(W_カレンダー[[#This Row],[月]]&lt;=9,"Q2","Q3")))</f>
        <v>Q3</v>
      </c>
    </row>
    <row r="616" spans="1:5" ht="18" customHeight="1" x14ac:dyDescent="0.25">
      <c r="A616" s="27">
        <v>45631</v>
      </c>
      <c r="B616" s="29">
        <f>MONTH(W_カレンダー[[#This Row],[日付]])</f>
        <v>12</v>
      </c>
      <c r="C616" s="1">
        <f>YEAR(W_カレンダー[[#This Row],[日付]])</f>
        <v>2024</v>
      </c>
      <c r="D616" s="1">
        <f>IF(W_カレンダー[[#This Row],[月]]&lt;=3,W_カレンダー[[#This Row],[暦年]]-1,W_カレンダー[[#This Row],[暦年]])</f>
        <v>2024</v>
      </c>
      <c r="E616" s="1" t="str">
        <f>IF(W_カレンダー[[#This Row],[月]]&lt;=3,"Q4",IF(W_カレンダー[[#This Row],[月]]&lt;=6,"Q1",IF(W_カレンダー[[#This Row],[月]]&lt;=9,"Q2","Q3")))</f>
        <v>Q3</v>
      </c>
    </row>
    <row r="617" spans="1:5" ht="18" customHeight="1" x14ac:dyDescent="0.25">
      <c r="A617" s="27">
        <v>45632</v>
      </c>
      <c r="B617" s="29">
        <f>MONTH(W_カレンダー[[#This Row],[日付]])</f>
        <v>12</v>
      </c>
      <c r="C617" s="1">
        <f>YEAR(W_カレンダー[[#This Row],[日付]])</f>
        <v>2024</v>
      </c>
      <c r="D617" s="1">
        <f>IF(W_カレンダー[[#This Row],[月]]&lt;=3,W_カレンダー[[#This Row],[暦年]]-1,W_カレンダー[[#This Row],[暦年]])</f>
        <v>2024</v>
      </c>
      <c r="E617" s="1" t="str">
        <f>IF(W_カレンダー[[#This Row],[月]]&lt;=3,"Q4",IF(W_カレンダー[[#This Row],[月]]&lt;=6,"Q1",IF(W_カレンダー[[#This Row],[月]]&lt;=9,"Q2","Q3")))</f>
        <v>Q3</v>
      </c>
    </row>
    <row r="618" spans="1:5" ht="18" customHeight="1" x14ac:dyDescent="0.25">
      <c r="A618" s="27">
        <v>45633</v>
      </c>
      <c r="B618" s="29">
        <f>MONTH(W_カレンダー[[#This Row],[日付]])</f>
        <v>12</v>
      </c>
      <c r="C618" s="1">
        <f>YEAR(W_カレンダー[[#This Row],[日付]])</f>
        <v>2024</v>
      </c>
      <c r="D618" s="1">
        <f>IF(W_カレンダー[[#This Row],[月]]&lt;=3,W_カレンダー[[#This Row],[暦年]]-1,W_カレンダー[[#This Row],[暦年]])</f>
        <v>2024</v>
      </c>
      <c r="E618" s="1" t="str">
        <f>IF(W_カレンダー[[#This Row],[月]]&lt;=3,"Q4",IF(W_カレンダー[[#This Row],[月]]&lt;=6,"Q1",IF(W_カレンダー[[#This Row],[月]]&lt;=9,"Q2","Q3")))</f>
        <v>Q3</v>
      </c>
    </row>
    <row r="619" spans="1:5" ht="18" customHeight="1" x14ac:dyDescent="0.25">
      <c r="A619" s="27">
        <v>45634</v>
      </c>
      <c r="B619" s="29">
        <f>MONTH(W_カレンダー[[#This Row],[日付]])</f>
        <v>12</v>
      </c>
      <c r="C619" s="1">
        <f>YEAR(W_カレンダー[[#This Row],[日付]])</f>
        <v>2024</v>
      </c>
      <c r="D619" s="1">
        <f>IF(W_カレンダー[[#This Row],[月]]&lt;=3,W_カレンダー[[#This Row],[暦年]]-1,W_カレンダー[[#This Row],[暦年]])</f>
        <v>2024</v>
      </c>
      <c r="E619" s="1" t="str">
        <f>IF(W_カレンダー[[#This Row],[月]]&lt;=3,"Q4",IF(W_カレンダー[[#This Row],[月]]&lt;=6,"Q1",IF(W_カレンダー[[#This Row],[月]]&lt;=9,"Q2","Q3")))</f>
        <v>Q3</v>
      </c>
    </row>
    <row r="620" spans="1:5" ht="18" customHeight="1" x14ac:dyDescent="0.25">
      <c r="A620" s="27">
        <v>45635</v>
      </c>
      <c r="B620" s="29">
        <f>MONTH(W_カレンダー[[#This Row],[日付]])</f>
        <v>12</v>
      </c>
      <c r="C620" s="1">
        <f>YEAR(W_カレンダー[[#This Row],[日付]])</f>
        <v>2024</v>
      </c>
      <c r="D620" s="1">
        <f>IF(W_カレンダー[[#This Row],[月]]&lt;=3,W_カレンダー[[#This Row],[暦年]]-1,W_カレンダー[[#This Row],[暦年]])</f>
        <v>2024</v>
      </c>
      <c r="E620" s="1" t="str">
        <f>IF(W_カレンダー[[#This Row],[月]]&lt;=3,"Q4",IF(W_カレンダー[[#This Row],[月]]&lt;=6,"Q1",IF(W_カレンダー[[#This Row],[月]]&lt;=9,"Q2","Q3")))</f>
        <v>Q3</v>
      </c>
    </row>
    <row r="621" spans="1:5" ht="18" customHeight="1" x14ac:dyDescent="0.25">
      <c r="A621" s="27">
        <v>45636</v>
      </c>
      <c r="B621" s="29">
        <f>MONTH(W_カレンダー[[#This Row],[日付]])</f>
        <v>12</v>
      </c>
      <c r="C621" s="1">
        <f>YEAR(W_カレンダー[[#This Row],[日付]])</f>
        <v>2024</v>
      </c>
      <c r="D621" s="1">
        <f>IF(W_カレンダー[[#This Row],[月]]&lt;=3,W_カレンダー[[#This Row],[暦年]]-1,W_カレンダー[[#This Row],[暦年]])</f>
        <v>2024</v>
      </c>
      <c r="E621" s="1" t="str">
        <f>IF(W_カレンダー[[#This Row],[月]]&lt;=3,"Q4",IF(W_カレンダー[[#This Row],[月]]&lt;=6,"Q1",IF(W_カレンダー[[#This Row],[月]]&lt;=9,"Q2","Q3")))</f>
        <v>Q3</v>
      </c>
    </row>
    <row r="622" spans="1:5" ht="18" customHeight="1" x14ac:dyDescent="0.25">
      <c r="A622" s="27">
        <v>45637</v>
      </c>
      <c r="B622" s="29">
        <f>MONTH(W_カレンダー[[#This Row],[日付]])</f>
        <v>12</v>
      </c>
      <c r="C622" s="1">
        <f>YEAR(W_カレンダー[[#This Row],[日付]])</f>
        <v>2024</v>
      </c>
      <c r="D622" s="1">
        <f>IF(W_カレンダー[[#This Row],[月]]&lt;=3,W_カレンダー[[#This Row],[暦年]]-1,W_カレンダー[[#This Row],[暦年]])</f>
        <v>2024</v>
      </c>
      <c r="E622" s="1" t="str">
        <f>IF(W_カレンダー[[#This Row],[月]]&lt;=3,"Q4",IF(W_カレンダー[[#This Row],[月]]&lt;=6,"Q1",IF(W_カレンダー[[#This Row],[月]]&lt;=9,"Q2","Q3")))</f>
        <v>Q3</v>
      </c>
    </row>
    <row r="623" spans="1:5" ht="18" customHeight="1" x14ac:dyDescent="0.25">
      <c r="A623" s="27">
        <v>45638</v>
      </c>
      <c r="B623" s="29">
        <f>MONTH(W_カレンダー[[#This Row],[日付]])</f>
        <v>12</v>
      </c>
      <c r="C623" s="1">
        <f>YEAR(W_カレンダー[[#This Row],[日付]])</f>
        <v>2024</v>
      </c>
      <c r="D623" s="1">
        <f>IF(W_カレンダー[[#This Row],[月]]&lt;=3,W_カレンダー[[#This Row],[暦年]]-1,W_カレンダー[[#This Row],[暦年]])</f>
        <v>2024</v>
      </c>
      <c r="E623" s="1" t="str">
        <f>IF(W_カレンダー[[#This Row],[月]]&lt;=3,"Q4",IF(W_カレンダー[[#This Row],[月]]&lt;=6,"Q1",IF(W_カレンダー[[#This Row],[月]]&lt;=9,"Q2","Q3")))</f>
        <v>Q3</v>
      </c>
    </row>
    <row r="624" spans="1:5" ht="18" customHeight="1" x14ac:dyDescent="0.25">
      <c r="A624" s="27">
        <v>45639</v>
      </c>
      <c r="B624" s="29">
        <f>MONTH(W_カレンダー[[#This Row],[日付]])</f>
        <v>12</v>
      </c>
      <c r="C624" s="1">
        <f>YEAR(W_カレンダー[[#This Row],[日付]])</f>
        <v>2024</v>
      </c>
      <c r="D624" s="1">
        <f>IF(W_カレンダー[[#This Row],[月]]&lt;=3,W_カレンダー[[#This Row],[暦年]]-1,W_カレンダー[[#This Row],[暦年]])</f>
        <v>2024</v>
      </c>
      <c r="E624" s="1" t="str">
        <f>IF(W_カレンダー[[#This Row],[月]]&lt;=3,"Q4",IF(W_カレンダー[[#This Row],[月]]&lt;=6,"Q1",IF(W_カレンダー[[#This Row],[月]]&lt;=9,"Q2","Q3")))</f>
        <v>Q3</v>
      </c>
    </row>
    <row r="625" spans="1:5" ht="18" customHeight="1" x14ac:dyDescent="0.25">
      <c r="A625" s="27">
        <v>45640</v>
      </c>
      <c r="B625" s="29">
        <f>MONTH(W_カレンダー[[#This Row],[日付]])</f>
        <v>12</v>
      </c>
      <c r="C625" s="1">
        <f>YEAR(W_カレンダー[[#This Row],[日付]])</f>
        <v>2024</v>
      </c>
      <c r="D625" s="1">
        <f>IF(W_カレンダー[[#This Row],[月]]&lt;=3,W_カレンダー[[#This Row],[暦年]]-1,W_カレンダー[[#This Row],[暦年]])</f>
        <v>2024</v>
      </c>
      <c r="E625" s="1" t="str">
        <f>IF(W_カレンダー[[#This Row],[月]]&lt;=3,"Q4",IF(W_カレンダー[[#This Row],[月]]&lt;=6,"Q1",IF(W_カレンダー[[#This Row],[月]]&lt;=9,"Q2","Q3")))</f>
        <v>Q3</v>
      </c>
    </row>
    <row r="626" spans="1:5" ht="18" customHeight="1" x14ac:dyDescent="0.25">
      <c r="A626" s="27">
        <v>45641</v>
      </c>
      <c r="B626" s="29">
        <f>MONTH(W_カレンダー[[#This Row],[日付]])</f>
        <v>12</v>
      </c>
      <c r="C626" s="1">
        <f>YEAR(W_カレンダー[[#This Row],[日付]])</f>
        <v>2024</v>
      </c>
      <c r="D626" s="1">
        <f>IF(W_カレンダー[[#This Row],[月]]&lt;=3,W_カレンダー[[#This Row],[暦年]]-1,W_カレンダー[[#This Row],[暦年]])</f>
        <v>2024</v>
      </c>
      <c r="E626" s="1" t="str">
        <f>IF(W_カレンダー[[#This Row],[月]]&lt;=3,"Q4",IF(W_カレンダー[[#This Row],[月]]&lt;=6,"Q1",IF(W_カレンダー[[#This Row],[月]]&lt;=9,"Q2","Q3")))</f>
        <v>Q3</v>
      </c>
    </row>
    <row r="627" spans="1:5" ht="18" customHeight="1" x14ac:dyDescent="0.25">
      <c r="A627" s="27">
        <v>45642</v>
      </c>
      <c r="B627" s="29">
        <f>MONTH(W_カレンダー[[#This Row],[日付]])</f>
        <v>12</v>
      </c>
      <c r="C627" s="1">
        <f>YEAR(W_カレンダー[[#This Row],[日付]])</f>
        <v>2024</v>
      </c>
      <c r="D627" s="1">
        <f>IF(W_カレンダー[[#This Row],[月]]&lt;=3,W_カレンダー[[#This Row],[暦年]]-1,W_カレンダー[[#This Row],[暦年]])</f>
        <v>2024</v>
      </c>
      <c r="E627" s="1" t="str">
        <f>IF(W_カレンダー[[#This Row],[月]]&lt;=3,"Q4",IF(W_カレンダー[[#This Row],[月]]&lt;=6,"Q1",IF(W_カレンダー[[#This Row],[月]]&lt;=9,"Q2","Q3")))</f>
        <v>Q3</v>
      </c>
    </row>
    <row r="628" spans="1:5" ht="18" customHeight="1" x14ac:dyDescent="0.25">
      <c r="A628" s="27">
        <v>45643</v>
      </c>
      <c r="B628" s="29">
        <f>MONTH(W_カレンダー[[#This Row],[日付]])</f>
        <v>12</v>
      </c>
      <c r="C628" s="1">
        <f>YEAR(W_カレンダー[[#This Row],[日付]])</f>
        <v>2024</v>
      </c>
      <c r="D628" s="1">
        <f>IF(W_カレンダー[[#This Row],[月]]&lt;=3,W_カレンダー[[#This Row],[暦年]]-1,W_カレンダー[[#This Row],[暦年]])</f>
        <v>2024</v>
      </c>
      <c r="E628" s="1" t="str">
        <f>IF(W_カレンダー[[#This Row],[月]]&lt;=3,"Q4",IF(W_カレンダー[[#This Row],[月]]&lt;=6,"Q1",IF(W_カレンダー[[#This Row],[月]]&lt;=9,"Q2","Q3")))</f>
        <v>Q3</v>
      </c>
    </row>
    <row r="629" spans="1:5" ht="18" customHeight="1" x14ac:dyDescent="0.25">
      <c r="A629" s="27">
        <v>45644</v>
      </c>
      <c r="B629" s="29">
        <f>MONTH(W_カレンダー[[#This Row],[日付]])</f>
        <v>12</v>
      </c>
      <c r="C629" s="1">
        <f>YEAR(W_カレンダー[[#This Row],[日付]])</f>
        <v>2024</v>
      </c>
      <c r="D629" s="1">
        <f>IF(W_カレンダー[[#This Row],[月]]&lt;=3,W_カレンダー[[#This Row],[暦年]]-1,W_カレンダー[[#This Row],[暦年]])</f>
        <v>2024</v>
      </c>
      <c r="E629" s="1" t="str">
        <f>IF(W_カレンダー[[#This Row],[月]]&lt;=3,"Q4",IF(W_カレンダー[[#This Row],[月]]&lt;=6,"Q1",IF(W_カレンダー[[#This Row],[月]]&lt;=9,"Q2","Q3")))</f>
        <v>Q3</v>
      </c>
    </row>
    <row r="630" spans="1:5" ht="18" customHeight="1" x14ac:dyDescent="0.25">
      <c r="A630" s="27">
        <v>45645</v>
      </c>
      <c r="B630" s="29">
        <f>MONTH(W_カレンダー[[#This Row],[日付]])</f>
        <v>12</v>
      </c>
      <c r="C630" s="1">
        <f>YEAR(W_カレンダー[[#This Row],[日付]])</f>
        <v>2024</v>
      </c>
      <c r="D630" s="1">
        <f>IF(W_カレンダー[[#This Row],[月]]&lt;=3,W_カレンダー[[#This Row],[暦年]]-1,W_カレンダー[[#This Row],[暦年]])</f>
        <v>2024</v>
      </c>
      <c r="E630" s="1" t="str">
        <f>IF(W_カレンダー[[#This Row],[月]]&lt;=3,"Q4",IF(W_カレンダー[[#This Row],[月]]&lt;=6,"Q1",IF(W_カレンダー[[#This Row],[月]]&lt;=9,"Q2","Q3")))</f>
        <v>Q3</v>
      </c>
    </row>
    <row r="631" spans="1:5" ht="18" customHeight="1" x14ac:dyDescent="0.25">
      <c r="A631" s="27">
        <v>45646</v>
      </c>
      <c r="B631" s="29">
        <f>MONTH(W_カレンダー[[#This Row],[日付]])</f>
        <v>12</v>
      </c>
      <c r="C631" s="1">
        <f>YEAR(W_カレンダー[[#This Row],[日付]])</f>
        <v>2024</v>
      </c>
      <c r="D631" s="1">
        <f>IF(W_カレンダー[[#This Row],[月]]&lt;=3,W_カレンダー[[#This Row],[暦年]]-1,W_カレンダー[[#This Row],[暦年]])</f>
        <v>2024</v>
      </c>
      <c r="E631" s="1" t="str">
        <f>IF(W_カレンダー[[#This Row],[月]]&lt;=3,"Q4",IF(W_カレンダー[[#This Row],[月]]&lt;=6,"Q1",IF(W_カレンダー[[#This Row],[月]]&lt;=9,"Q2","Q3")))</f>
        <v>Q3</v>
      </c>
    </row>
    <row r="632" spans="1:5" ht="18" customHeight="1" x14ac:dyDescent="0.25">
      <c r="A632" s="27">
        <v>45647</v>
      </c>
      <c r="B632" s="29">
        <f>MONTH(W_カレンダー[[#This Row],[日付]])</f>
        <v>12</v>
      </c>
      <c r="C632" s="1">
        <f>YEAR(W_カレンダー[[#This Row],[日付]])</f>
        <v>2024</v>
      </c>
      <c r="D632" s="1">
        <f>IF(W_カレンダー[[#This Row],[月]]&lt;=3,W_カレンダー[[#This Row],[暦年]]-1,W_カレンダー[[#This Row],[暦年]])</f>
        <v>2024</v>
      </c>
      <c r="E632" s="1" t="str">
        <f>IF(W_カレンダー[[#This Row],[月]]&lt;=3,"Q4",IF(W_カレンダー[[#This Row],[月]]&lt;=6,"Q1",IF(W_カレンダー[[#This Row],[月]]&lt;=9,"Q2","Q3")))</f>
        <v>Q3</v>
      </c>
    </row>
    <row r="633" spans="1:5" ht="18" customHeight="1" x14ac:dyDescent="0.25">
      <c r="A633" s="27">
        <v>45648</v>
      </c>
      <c r="B633" s="29">
        <f>MONTH(W_カレンダー[[#This Row],[日付]])</f>
        <v>12</v>
      </c>
      <c r="C633" s="1">
        <f>YEAR(W_カレンダー[[#This Row],[日付]])</f>
        <v>2024</v>
      </c>
      <c r="D633" s="1">
        <f>IF(W_カレンダー[[#This Row],[月]]&lt;=3,W_カレンダー[[#This Row],[暦年]]-1,W_カレンダー[[#This Row],[暦年]])</f>
        <v>2024</v>
      </c>
      <c r="E633" s="1" t="str">
        <f>IF(W_カレンダー[[#This Row],[月]]&lt;=3,"Q4",IF(W_カレンダー[[#This Row],[月]]&lt;=6,"Q1",IF(W_カレンダー[[#This Row],[月]]&lt;=9,"Q2","Q3")))</f>
        <v>Q3</v>
      </c>
    </row>
    <row r="634" spans="1:5" ht="18" customHeight="1" x14ac:dyDescent="0.25">
      <c r="A634" s="27">
        <v>45649</v>
      </c>
      <c r="B634" s="29">
        <f>MONTH(W_カレンダー[[#This Row],[日付]])</f>
        <v>12</v>
      </c>
      <c r="C634" s="1">
        <f>YEAR(W_カレンダー[[#This Row],[日付]])</f>
        <v>2024</v>
      </c>
      <c r="D634" s="1">
        <f>IF(W_カレンダー[[#This Row],[月]]&lt;=3,W_カレンダー[[#This Row],[暦年]]-1,W_カレンダー[[#This Row],[暦年]])</f>
        <v>2024</v>
      </c>
      <c r="E634" s="1" t="str">
        <f>IF(W_カレンダー[[#This Row],[月]]&lt;=3,"Q4",IF(W_カレンダー[[#This Row],[月]]&lt;=6,"Q1",IF(W_カレンダー[[#This Row],[月]]&lt;=9,"Q2","Q3")))</f>
        <v>Q3</v>
      </c>
    </row>
    <row r="635" spans="1:5" ht="18" customHeight="1" x14ac:dyDescent="0.25">
      <c r="A635" s="27">
        <v>45650</v>
      </c>
      <c r="B635" s="29">
        <f>MONTH(W_カレンダー[[#This Row],[日付]])</f>
        <v>12</v>
      </c>
      <c r="C635" s="1">
        <f>YEAR(W_カレンダー[[#This Row],[日付]])</f>
        <v>2024</v>
      </c>
      <c r="D635" s="1">
        <f>IF(W_カレンダー[[#This Row],[月]]&lt;=3,W_カレンダー[[#This Row],[暦年]]-1,W_カレンダー[[#This Row],[暦年]])</f>
        <v>2024</v>
      </c>
      <c r="E635" s="1" t="str">
        <f>IF(W_カレンダー[[#This Row],[月]]&lt;=3,"Q4",IF(W_カレンダー[[#This Row],[月]]&lt;=6,"Q1",IF(W_カレンダー[[#This Row],[月]]&lt;=9,"Q2","Q3")))</f>
        <v>Q3</v>
      </c>
    </row>
    <row r="636" spans="1:5" ht="18" customHeight="1" x14ac:dyDescent="0.25">
      <c r="A636" s="27">
        <v>45651</v>
      </c>
      <c r="B636" s="29">
        <f>MONTH(W_カレンダー[[#This Row],[日付]])</f>
        <v>12</v>
      </c>
      <c r="C636" s="1">
        <f>YEAR(W_カレンダー[[#This Row],[日付]])</f>
        <v>2024</v>
      </c>
      <c r="D636" s="1">
        <f>IF(W_カレンダー[[#This Row],[月]]&lt;=3,W_カレンダー[[#This Row],[暦年]]-1,W_カレンダー[[#This Row],[暦年]])</f>
        <v>2024</v>
      </c>
      <c r="E636" s="1" t="str">
        <f>IF(W_カレンダー[[#This Row],[月]]&lt;=3,"Q4",IF(W_カレンダー[[#This Row],[月]]&lt;=6,"Q1",IF(W_カレンダー[[#This Row],[月]]&lt;=9,"Q2","Q3")))</f>
        <v>Q3</v>
      </c>
    </row>
    <row r="637" spans="1:5" ht="18" customHeight="1" x14ac:dyDescent="0.25">
      <c r="A637" s="27">
        <v>45652</v>
      </c>
      <c r="B637" s="29">
        <f>MONTH(W_カレンダー[[#This Row],[日付]])</f>
        <v>12</v>
      </c>
      <c r="C637" s="1">
        <f>YEAR(W_カレンダー[[#This Row],[日付]])</f>
        <v>2024</v>
      </c>
      <c r="D637" s="1">
        <f>IF(W_カレンダー[[#This Row],[月]]&lt;=3,W_カレンダー[[#This Row],[暦年]]-1,W_カレンダー[[#This Row],[暦年]])</f>
        <v>2024</v>
      </c>
      <c r="E637" s="1" t="str">
        <f>IF(W_カレンダー[[#This Row],[月]]&lt;=3,"Q4",IF(W_カレンダー[[#This Row],[月]]&lt;=6,"Q1",IF(W_カレンダー[[#This Row],[月]]&lt;=9,"Q2","Q3")))</f>
        <v>Q3</v>
      </c>
    </row>
    <row r="638" spans="1:5" ht="18" customHeight="1" x14ac:dyDescent="0.25">
      <c r="A638" s="27">
        <v>45653</v>
      </c>
      <c r="B638" s="29">
        <f>MONTH(W_カレンダー[[#This Row],[日付]])</f>
        <v>12</v>
      </c>
      <c r="C638" s="1">
        <f>YEAR(W_カレンダー[[#This Row],[日付]])</f>
        <v>2024</v>
      </c>
      <c r="D638" s="1">
        <f>IF(W_カレンダー[[#This Row],[月]]&lt;=3,W_カレンダー[[#This Row],[暦年]]-1,W_カレンダー[[#This Row],[暦年]])</f>
        <v>2024</v>
      </c>
      <c r="E638" s="1" t="str">
        <f>IF(W_カレンダー[[#This Row],[月]]&lt;=3,"Q4",IF(W_カレンダー[[#This Row],[月]]&lt;=6,"Q1",IF(W_カレンダー[[#This Row],[月]]&lt;=9,"Q2","Q3")))</f>
        <v>Q3</v>
      </c>
    </row>
    <row r="639" spans="1:5" ht="18" customHeight="1" x14ac:dyDescent="0.25">
      <c r="A639" s="27">
        <v>45654</v>
      </c>
      <c r="B639" s="29">
        <f>MONTH(W_カレンダー[[#This Row],[日付]])</f>
        <v>12</v>
      </c>
      <c r="C639" s="1">
        <f>YEAR(W_カレンダー[[#This Row],[日付]])</f>
        <v>2024</v>
      </c>
      <c r="D639" s="1">
        <f>IF(W_カレンダー[[#This Row],[月]]&lt;=3,W_カレンダー[[#This Row],[暦年]]-1,W_カレンダー[[#This Row],[暦年]])</f>
        <v>2024</v>
      </c>
      <c r="E639" s="1" t="str">
        <f>IF(W_カレンダー[[#This Row],[月]]&lt;=3,"Q4",IF(W_カレンダー[[#This Row],[月]]&lt;=6,"Q1",IF(W_カレンダー[[#This Row],[月]]&lt;=9,"Q2","Q3")))</f>
        <v>Q3</v>
      </c>
    </row>
    <row r="640" spans="1:5" ht="18" customHeight="1" x14ac:dyDescent="0.25">
      <c r="A640" s="27">
        <v>45655</v>
      </c>
      <c r="B640" s="29">
        <f>MONTH(W_カレンダー[[#This Row],[日付]])</f>
        <v>12</v>
      </c>
      <c r="C640" s="1">
        <f>YEAR(W_カレンダー[[#This Row],[日付]])</f>
        <v>2024</v>
      </c>
      <c r="D640" s="1">
        <f>IF(W_カレンダー[[#This Row],[月]]&lt;=3,W_カレンダー[[#This Row],[暦年]]-1,W_カレンダー[[#This Row],[暦年]])</f>
        <v>2024</v>
      </c>
      <c r="E640" s="1" t="str">
        <f>IF(W_カレンダー[[#This Row],[月]]&lt;=3,"Q4",IF(W_カレンダー[[#This Row],[月]]&lt;=6,"Q1",IF(W_カレンダー[[#This Row],[月]]&lt;=9,"Q2","Q3")))</f>
        <v>Q3</v>
      </c>
    </row>
    <row r="641" spans="1:5" ht="18" customHeight="1" x14ac:dyDescent="0.25">
      <c r="A641" s="27">
        <v>45656</v>
      </c>
      <c r="B641" s="29">
        <f>MONTH(W_カレンダー[[#This Row],[日付]])</f>
        <v>12</v>
      </c>
      <c r="C641" s="1">
        <f>YEAR(W_カレンダー[[#This Row],[日付]])</f>
        <v>2024</v>
      </c>
      <c r="D641" s="1">
        <f>IF(W_カレンダー[[#This Row],[月]]&lt;=3,W_カレンダー[[#This Row],[暦年]]-1,W_カレンダー[[#This Row],[暦年]])</f>
        <v>2024</v>
      </c>
      <c r="E641" s="1" t="str">
        <f>IF(W_カレンダー[[#This Row],[月]]&lt;=3,"Q4",IF(W_カレンダー[[#This Row],[月]]&lt;=6,"Q1",IF(W_カレンダー[[#This Row],[月]]&lt;=9,"Q2","Q3")))</f>
        <v>Q3</v>
      </c>
    </row>
    <row r="642" spans="1:5" ht="18" customHeight="1" x14ac:dyDescent="0.25">
      <c r="A642" s="27">
        <v>45657</v>
      </c>
      <c r="B642" s="29">
        <f>MONTH(W_カレンダー[[#This Row],[日付]])</f>
        <v>12</v>
      </c>
      <c r="C642" s="1">
        <f>YEAR(W_カレンダー[[#This Row],[日付]])</f>
        <v>2024</v>
      </c>
      <c r="D642" s="1">
        <f>IF(W_カレンダー[[#This Row],[月]]&lt;=3,W_カレンダー[[#This Row],[暦年]]-1,W_カレンダー[[#This Row],[暦年]])</f>
        <v>2024</v>
      </c>
      <c r="E642" s="1" t="str">
        <f>IF(W_カレンダー[[#This Row],[月]]&lt;=3,"Q4",IF(W_カレンダー[[#This Row],[月]]&lt;=6,"Q1",IF(W_カレンダー[[#This Row],[月]]&lt;=9,"Q2","Q3")))</f>
        <v>Q3</v>
      </c>
    </row>
    <row r="643" spans="1:5" ht="18" customHeight="1" x14ac:dyDescent="0.25">
      <c r="A643" s="27">
        <v>45658</v>
      </c>
      <c r="B643" s="29">
        <f>MONTH(W_カレンダー[[#This Row],[日付]])</f>
        <v>1</v>
      </c>
      <c r="C643" s="1">
        <f>YEAR(W_カレンダー[[#This Row],[日付]])</f>
        <v>2025</v>
      </c>
      <c r="D643" s="1">
        <f>IF(W_カレンダー[[#This Row],[月]]&lt;=3,W_カレンダー[[#This Row],[暦年]]-1,W_カレンダー[[#This Row],[暦年]])</f>
        <v>2024</v>
      </c>
      <c r="E643" s="1" t="str">
        <f>IF(W_カレンダー[[#This Row],[月]]&lt;=3,"Q4",IF(W_カレンダー[[#This Row],[月]]&lt;=6,"Q1",IF(W_カレンダー[[#This Row],[月]]&lt;=9,"Q2","Q3")))</f>
        <v>Q4</v>
      </c>
    </row>
    <row r="644" spans="1:5" ht="18" customHeight="1" x14ac:dyDescent="0.25">
      <c r="A644" s="27">
        <v>45659</v>
      </c>
      <c r="B644" s="29">
        <f>MONTH(W_カレンダー[[#This Row],[日付]])</f>
        <v>1</v>
      </c>
      <c r="C644" s="1">
        <f>YEAR(W_カレンダー[[#This Row],[日付]])</f>
        <v>2025</v>
      </c>
      <c r="D644" s="1">
        <f>IF(W_カレンダー[[#This Row],[月]]&lt;=3,W_カレンダー[[#This Row],[暦年]]-1,W_カレンダー[[#This Row],[暦年]])</f>
        <v>2024</v>
      </c>
      <c r="E644" s="1" t="str">
        <f>IF(W_カレンダー[[#This Row],[月]]&lt;=3,"Q4",IF(W_カレンダー[[#This Row],[月]]&lt;=6,"Q1",IF(W_カレンダー[[#This Row],[月]]&lt;=9,"Q2","Q3")))</f>
        <v>Q4</v>
      </c>
    </row>
    <row r="645" spans="1:5" ht="18" customHeight="1" x14ac:dyDescent="0.25">
      <c r="A645" s="27">
        <v>45660</v>
      </c>
      <c r="B645" s="29">
        <f>MONTH(W_カレンダー[[#This Row],[日付]])</f>
        <v>1</v>
      </c>
      <c r="C645" s="1">
        <f>YEAR(W_カレンダー[[#This Row],[日付]])</f>
        <v>2025</v>
      </c>
      <c r="D645" s="1">
        <f>IF(W_カレンダー[[#This Row],[月]]&lt;=3,W_カレンダー[[#This Row],[暦年]]-1,W_カレンダー[[#This Row],[暦年]])</f>
        <v>2024</v>
      </c>
      <c r="E645" s="1" t="str">
        <f>IF(W_カレンダー[[#This Row],[月]]&lt;=3,"Q4",IF(W_カレンダー[[#This Row],[月]]&lt;=6,"Q1",IF(W_カレンダー[[#This Row],[月]]&lt;=9,"Q2","Q3")))</f>
        <v>Q4</v>
      </c>
    </row>
    <row r="646" spans="1:5" ht="18" customHeight="1" x14ac:dyDescent="0.25">
      <c r="A646" s="27">
        <v>45661</v>
      </c>
      <c r="B646" s="29">
        <f>MONTH(W_カレンダー[[#This Row],[日付]])</f>
        <v>1</v>
      </c>
      <c r="C646" s="1">
        <f>YEAR(W_カレンダー[[#This Row],[日付]])</f>
        <v>2025</v>
      </c>
      <c r="D646" s="1">
        <f>IF(W_カレンダー[[#This Row],[月]]&lt;=3,W_カレンダー[[#This Row],[暦年]]-1,W_カレンダー[[#This Row],[暦年]])</f>
        <v>2024</v>
      </c>
      <c r="E646" s="1" t="str">
        <f>IF(W_カレンダー[[#This Row],[月]]&lt;=3,"Q4",IF(W_カレンダー[[#This Row],[月]]&lt;=6,"Q1",IF(W_カレンダー[[#This Row],[月]]&lt;=9,"Q2","Q3")))</f>
        <v>Q4</v>
      </c>
    </row>
    <row r="647" spans="1:5" ht="18" customHeight="1" x14ac:dyDescent="0.25">
      <c r="A647" s="27">
        <v>45662</v>
      </c>
      <c r="B647" s="29">
        <f>MONTH(W_カレンダー[[#This Row],[日付]])</f>
        <v>1</v>
      </c>
      <c r="C647" s="1">
        <f>YEAR(W_カレンダー[[#This Row],[日付]])</f>
        <v>2025</v>
      </c>
      <c r="D647" s="1">
        <f>IF(W_カレンダー[[#This Row],[月]]&lt;=3,W_カレンダー[[#This Row],[暦年]]-1,W_カレンダー[[#This Row],[暦年]])</f>
        <v>2024</v>
      </c>
      <c r="E647" s="1" t="str">
        <f>IF(W_カレンダー[[#This Row],[月]]&lt;=3,"Q4",IF(W_カレンダー[[#This Row],[月]]&lt;=6,"Q1",IF(W_カレンダー[[#This Row],[月]]&lt;=9,"Q2","Q3")))</f>
        <v>Q4</v>
      </c>
    </row>
    <row r="648" spans="1:5" ht="18" customHeight="1" x14ac:dyDescent="0.25">
      <c r="A648" s="27">
        <v>45663</v>
      </c>
      <c r="B648" s="29">
        <f>MONTH(W_カレンダー[[#This Row],[日付]])</f>
        <v>1</v>
      </c>
      <c r="C648" s="1">
        <f>YEAR(W_カレンダー[[#This Row],[日付]])</f>
        <v>2025</v>
      </c>
      <c r="D648" s="1">
        <f>IF(W_カレンダー[[#This Row],[月]]&lt;=3,W_カレンダー[[#This Row],[暦年]]-1,W_カレンダー[[#This Row],[暦年]])</f>
        <v>2024</v>
      </c>
      <c r="E648" s="1" t="str">
        <f>IF(W_カレンダー[[#This Row],[月]]&lt;=3,"Q4",IF(W_カレンダー[[#This Row],[月]]&lt;=6,"Q1",IF(W_カレンダー[[#This Row],[月]]&lt;=9,"Q2","Q3")))</f>
        <v>Q4</v>
      </c>
    </row>
    <row r="649" spans="1:5" ht="18" customHeight="1" x14ac:dyDescent="0.25">
      <c r="A649" s="27">
        <v>45664</v>
      </c>
      <c r="B649" s="29">
        <f>MONTH(W_カレンダー[[#This Row],[日付]])</f>
        <v>1</v>
      </c>
      <c r="C649" s="1">
        <f>YEAR(W_カレンダー[[#This Row],[日付]])</f>
        <v>2025</v>
      </c>
      <c r="D649" s="1">
        <f>IF(W_カレンダー[[#This Row],[月]]&lt;=3,W_カレンダー[[#This Row],[暦年]]-1,W_カレンダー[[#This Row],[暦年]])</f>
        <v>2024</v>
      </c>
      <c r="E649" s="1" t="str">
        <f>IF(W_カレンダー[[#This Row],[月]]&lt;=3,"Q4",IF(W_カレンダー[[#This Row],[月]]&lt;=6,"Q1",IF(W_カレンダー[[#This Row],[月]]&lt;=9,"Q2","Q3")))</f>
        <v>Q4</v>
      </c>
    </row>
    <row r="650" spans="1:5" ht="18" customHeight="1" x14ac:dyDescent="0.25">
      <c r="A650" s="27">
        <v>45665</v>
      </c>
      <c r="B650" s="29">
        <f>MONTH(W_カレンダー[[#This Row],[日付]])</f>
        <v>1</v>
      </c>
      <c r="C650" s="1">
        <f>YEAR(W_カレンダー[[#This Row],[日付]])</f>
        <v>2025</v>
      </c>
      <c r="D650" s="1">
        <f>IF(W_カレンダー[[#This Row],[月]]&lt;=3,W_カレンダー[[#This Row],[暦年]]-1,W_カレンダー[[#This Row],[暦年]])</f>
        <v>2024</v>
      </c>
      <c r="E650" s="1" t="str">
        <f>IF(W_カレンダー[[#This Row],[月]]&lt;=3,"Q4",IF(W_カレンダー[[#This Row],[月]]&lt;=6,"Q1",IF(W_カレンダー[[#This Row],[月]]&lt;=9,"Q2","Q3")))</f>
        <v>Q4</v>
      </c>
    </row>
    <row r="651" spans="1:5" ht="18" customHeight="1" x14ac:dyDescent="0.25">
      <c r="A651" s="27">
        <v>45666</v>
      </c>
      <c r="B651" s="29">
        <f>MONTH(W_カレンダー[[#This Row],[日付]])</f>
        <v>1</v>
      </c>
      <c r="C651" s="1">
        <f>YEAR(W_カレンダー[[#This Row],[日付]])</f>
        <v>2025</v>
      </c>
      <c r="D651" s="1">
        <f>IF(W_カレンダー[[#This Row],[月]]&lt;=3,W_カレンダー[[#This Row],[暦年]]-1,W_カレンダー[[#This Row],[暦年]])</f>
        <v>2024</v>
      </c>
      <c r="E651" s="1" t="str">
        <f>IF(W_カレンダー[[#This Row],[月]]&lt;=3,"Q4",IF(W_カレンダー[[#This Row],[月]]&lt;=6,"Q1",IF(W_カレンダー[[#This Row],[月]]&lt;=9,"Q2","Q3")))</f>
        <v>Q4</v>
      </c>
    </row>
    <row r="652" spans="1:5" ht="18" customHeight="1" x14ac:dyDescent="0.25">
      <c r="A652" s="27">
        <v>45667</v>
      </c>
      <c r="B652" s="29">
        <f>MONTH(W_カレンダー[[#This Row],[日付]])</f>
        <v>1</v>
      </c>
      <c r="C652" s="1">
        <f>YEAR(W_カレンダー[[#This Row],[日付]])</f>
        <v>2025</v>
      </c>
      <c r="D652" s="1">
        <f>IF(W_カレンダー[[#This Row],[月]]&lt;=3,W_カレンダー[[#This Row],[暦年]]-1,W_カレンダー[[#This Row],[暦年]])</f>
        <v>2024</v>
      </c>
      <c r="E652" s="1" t="str">
        <f>IF(W_カレンダー[[#This Row],[月]]&lt;=3,"Q4",IF(W_カレンダー[[#This Row],[月]]&lt;=6,"Q1",IF(W_カレンダー[[#This Row],[月]]&lt;=9,"Q2","Q3")))</f>
        <v>Q4</v>
      </c>
    </row>
    <row r="653" spans="1:5" ht="18" customHeight="1" x14ac:dyDescent="0.25">
      <c r="A653" s="27">
        <v>45668</v>
      </c>
      <c r="B653" s="29">
        <f>MONTH(W_カレンダー[[#This Row],[日付]])</f>
        <v>1</v>
      </c>
      <c r="C653" s="1">
        <f>YEAR(W_カレンダー[[#This Row],[日付]])</f>
        <v>2025</v>
      </c>
      <c r="D653" s="1">
        <f>IF(W_カレンダー[[#This Row],[月]]&lt;=3,W_カレンダー[[#This Row],[暦年]]-1,W_カレンダー[[#This Row],[暦年]])</f>
        <v>2024</v>
      </c>
      <c r="E653" s="1" t="str">
        <f>IF(W_カレンダー[[#This Row],[月]]&lt;=3,"Q4",IF(W_カレンダー[[#This Row],[月]]&lt;=6,"Q1",IF(W_カレンダー[[#This Row],[月]]&lt;=9,"Q2","Q3")))</f>
        <v>Q4</v>
      </c>
    </row>
    <row r="654" spans="1:5" ht="18" customHeight="1" x14ac:dyDescent="0.25">
      <c r="A654" s="27">
        <v>45669</v>
      </c>
      <c r="B654" s="29">
        <f>MONTH(W_カレンダー[[#This Row],[日付]])</f>
        <v>1</v>
      </c>
      <c r="C654" s="1">
        <f>YEAR(W_カレンダー[[#This Row],[日付]])</f>
        <v>2025</v>
      </c>
      <c r="D654" s="1">
        <f>IF(W_カレンダー[[#This Row],[月]]&lt;=3,W_カレンダー[[#This Row],[暦年]]-1,W_カレンダー[[#This Row],[暦年]])</f>
        <v>2024</v>
      </c>
      <c r="E654" s="1" t="str">
        <f>IF(W_カレンダー[[#This Row],[月]]&lt;=3,"Q4",IF(W_カレンダー[[#This Row],[月]]&lt;=6,"Q1",IF(W_カレンダー[[#This Row],[月]]&lt;=9,"Q2","Q3")))</f>
        <v>Q4</v>
      </c>
    </row>
    <row r="655" spans="1:5" ht="18" customHeight="1" x14ac:dyDescent="0.25">
      <c r="A655" s="27">
        <v>45670</v>
      </c>
      <c r="B655" s="29">
        <f>MONTH(W_カレンダー[[#This Row],[日付]])</f>
        <v>1</v>
      </c>
      <c r="C655" s="1">
        <f>YEAR(W_カレンダー[[#This Row],[日付]])</f>
        <v>2025</v>
      </c>
      <c r="D655" s="1">
        <f>IF(W_カレンダー[[#This Row],[月]]&lt;=3,W_カレンダー[[#This Row],[暦年]]-1,W_カレンダー[[#This Row],[暦年]])</f>
        <v>2024</v>
      </c>
      <c r="E655" s="1" t="str">
        <f>IF(W_カレンダー[[#This Row],[月]]&lt;=3,"Q4",IF(W_カレンダー[[#This Row],[月]]&lt;=6,"Q1",IF(W_カレンダー[[#This Row],[月]]&lt;=9,"Q2","Q3")))</f>
        <v>Q4</v>
      </c>
    </row>
    <row r="656" spans="1:5" ht="18" customHeight="1" x14ac:dyDescent="0.25">
      <c r="A656" s="27">
        <v>45671</v>
      </c>
      <c r="B656" s="29">
        <f>MONTH(W_カレンダー[[#This Row],[日付]])</f>
        <v>1</v>
      </c>
      <c r="C656" s="1">
        <f>YEAR(W_カレンダー[[#This Row],[日付]])</f>
        <v>2025</v>
      </c>
      <c r="D656" s="1">
        <f>IF(W_カレンダー[[#This Row],[月]]&lt;=3,W_カレンダー[[#This Row],[暦年]]-1,W_カレンダー[[#This Row],[暦年]])</f>
        <v>2024</v>
      </c>
      <c r="E656" s="1" t="str">
        <f>IF(W_カレンダー[[#This Row],[月]]&lt;=3,"Q4",IF(W_カレンダー[[#This Row],[月]]&lt;=6,"Q1",IF(W_カレンダー[[#This Row],[月]]&lt;=9,"Q2","Q3")))</f>
        <v>Q4</v>
      </c>
    </row>
    <row r="657" spans="1:5" ht="18" customHeight="1" x14ac:dyDescent="0.25">
      <c r="A657" s="27">
        <v>45672</v>
      </c>
      <c r="B657" s="29">
        <f>MONTH(W_カレンダー[[#This Row],[日付]])</f>
        <v>1</v>
      </c>
      <c r="C657" s="1">
        <f>YEAR(W_カレンダー[[#This Row],[日付]])</f>
        <v>2025</v>
      </c>
      <c r="D657" s="1">
        <f>IF(W_カレンダー[[#This Row],[月]]&lt;=3,W_カレンダー[[#This Row],[暦年]]-1,W_カレンダー[[#This Row],[暦年]])</f>
        <v>2024</v>
      </c>
      <c r="E657" s="1" t="str">
        <f>IF(W_カレンダー[[#This Row],[月]]&lt;=3,"Q4",IF(W_カレンダー[[#This Row],[月]]&lt;=6,"Q1",IF(W_カレンダー[[#This Row],[月]]&lt;=9,"Q2","Q3")))</f>
        <v>Q4</v>
      </c>
    </row>
    <row r="658" spans="1:5" ht="18" customHeight="1" x14ac:dyDescent="0.25">
      <c r="A658" s="27">
        <v>45673</v>
      </c>
      <c r="B658" s="29">
        <f>MONTH(W_カレンダー[[#This Row],[日付]])</f>
        <v>1</v>
      </c>
      <c r="C658" s="1">
        <f>YEAR(W_カレンダー[[#This Row],[日付]])</f>
        <v>2025</v>
      </c>
      <c r="D658" s="1">
        <f>IF(W_カレンダー[[#This Row],[月]]&lt;=3,W_カレンダー[[#This Row],[暦年]]-1,W_カレンダー[[#This Row],[暦年]])</f>
        <v>2024</v>
      </c>
      <c r="E658" s="1" t="str">
        <f>IF(W_カレンダー[[#This Row],[月]]&lt;=3,"Q4",IF(W_カレンダー[[#This Row],[月]]&lt;=6,"Q1",IF(W_カレンダー[[#This Row],[月]]&lt;=9,"Q2","Q3")))</f>
        <v>Q4</v>
      </c>
    </row>
    <row r="659" spans="1:5" ht="18" customHeight="1" x14ac:dyDescent="0.25">
      <c r="A659" s="27">
        <v>45674</v>
      </c>
      <c r="B659" s="29">
        <f>MONTH(W_カレンダー[[#This Row],[日付]])</f>
        <v>1</v>
      </c>
      <c r="C659" s="1">
        <f>YEAR(W_カレンダー[[#This Row],[日付]])</f>
        <v>2025</v>
      </c>
      <c r="D659" s="1">
        <f>IF(W_カレンダー[[#This Row],[月]]&lt;=3,W_カレンダー[[#This Row],[暦年]]-1,W_カレンダー[[#This Row],[暦年]])</f>
        <v>2024</v>
      </c>
      <c r="E659" s="1" t="str">
        <f>IF(W_カレンダー[[#This Row],[月]]&lt;=3,"Q4",IF(W_カレンダー[[#This Row],[月]]&lt;=6,"Q1",IF(W_カレンダー[[#This Row],[月]]&lt;=9,"Q2","Q3")))</f>
        <v>Q4</v>
      </c>
    </row>
    <row r="660" spans="1:5" ht="18" customHeight="1" x14ac:dyDescent="0.25">
      <c r="A660" s="27">
        <v>45675</v>
      </c>
      <c r="B660" s="29">
        <f>MONTH(W_カレンダー[[#This Row],[日付]])</f>
        <v>1</v>
      </c>
      <c r="C660" s="1">
        <f>YEAR(W_カレンダー[[#This Row],[日付]])</f>
        <v>2025</v>
      </c>
      <c r="D660" s="1">
        <f>IF(W_カレンダー[[#This Row],[月]]&lt;=3,W_カレンダー[[#This Row],[暦年]]-1,W_カレンダー[[#This Row],[暦年]])</f>
        <v>2024</v>
      </c>
      <c r="E660" s="1" t="str">
        <f>IF(W_カレンダー[[#This Row],[月]]&lt;=3,"Q4",IF(W_カレンダー[[#This Row],[月]]&lt;=6,"Q1",IF(W_カレンダー[[#This Row],[月]]&lt;=9,"Q2","Q3")))</f>
        <v>Q4</v>
      </c>
    </row>
    <row r="661" spans="1:5" ht="18" customHeight="1" x14ac:dyDescent="0.25">
      <c r="A661" s="27">
        <v>45676</v>
      </c>
      <c r="B661" s="29">
        <f>MONTH(W_カレンダー[[#This Row],[日付]])</f>
        <v>1</v>
      </c>
      <c r="C661" s="1">
        <f>YEAR(W_カレンダー[[#This Row],[日付]])</f>
        <v>2025</v>
      </c>
      <c r="D661" s="1">
        <f>IF(W_カレンダー[[#This Row],[月]]&lt;=3,W_カレンダー[[#This Row],[暦年]]-1,W_カレンダー[[#This Row],[暦年]])</f>
        <v>2024</v>
      </c>
      <c r="E661" s="1" t="str">
        <f>IF(W_カレンダー[[#This Row],[月]]&lt;=3,"Q4",IF(W_カレンダー[[#This Row],[月]]&lt;=6,"Q1",IF(W_カレンダー[[#This Row],[月]]&lt;=9,"Q2","Q3")))</f>
        <v>Q4</v>
      </c>
    </row>
    <row r="662" spans="1:5" ht="18" customHeight="1" x14ac:dyDescent="0.25">
      <c r="A662" s="27">
        <v>45677</v>
      </c>
      <c r="B662" s="29">
        <f>MONTH(W_カレンダー[[#This Row],[日付]])</f>
        <v>1</v>
      </c>
      <c r="C662" s="1">
        <f>YEAR(W_カレンダー[[#This Row],[日付]])</f>
        <v>2025</v>
      </c>
      <c r="D662" s="1">
        <f>IF(W_カレンダー[[#This Row],[月]]&lt;=3,W_カレンダー[[#This Row],[暦年]]-1,W_カレンダー[[#This Row],[暦年]])</f>
        <v>2024</v>
      </c>
      <c r="E662" s="1" t="str">
        <f>IF(W_カレンダー[[#This Row],[月]]&lt;=3,"Q4",IF(W_カレンダー[[#This Row],[月]]&lt;=6,"Q1",IF(W_カレンダー[[#This Row],[月]]&lt;=9,"Q2","Q3")))</f>
        <v>Q4</v>
      </c>
    </row>
    <row r="663" spans="1:5" ht="18" customHeight="1" x14ac:dyDescent="0.25">
      <c r="A663" s="27">
        <v>45678</v>
      </c>
      <c r="B663" s="29">
        <f>MONTH(W_カレンダー[[#This Row],[日付]])</f>
        <v>1</v>
      </c>
      <c r="C663" s="1">
        <f>YEAR(W_カレンダー[[#This Row],[日付]])</f>
        <v>2025</v>
      </c>
      <c r="D663" s="1">
        <f>IF(W_カレンダー[[#This Row],[月]]&lt;=3,W_カレンダー[[#This Row],[暦年]]-1,W_カレンダー[[#This Row],[暦年]])</f>
        <v>2024</v>
      </c>
      <c r="E663" s="1" t="str">
        <f>IF(W_カレンダー[[#This Row],[月]]&lt;=3,"Q4",IF(W_カレンダー[[#This Row],[月]]&lt;=6,"Q1",IF(W_カレンダー[[#This Row],[月]]&lt;=9,"Q2","Q3")))</f>
        <v>Q4</v>
      </c>
    </row>
    <row r="664" spans="1:5" ht="18" customHeight="1" x14ac:dyDescent="0.25">
      <c r="A664" s="27">
        <v>45679</v>
      </c>
      <c r="B664" s="29">
        <f>MONTH(W_カレンダー[[#This Row],[日付]])</f>
        <v>1</v>
      </c>
      <c r="C664" s="1">
        <f>YEAR(W_カレンダー[[#This Row],[日付]])</f>
        <v>2025</v>
      </c>
      <c r="D664" s="1">
        <f>IF(W_カレンダー[[#This Row],[月]]&lt;=3,W_カレンダー[[#This Row],[暦年]]-1,W_カレンダー[[#This Row],[暦年]])</f>
        <v>2024</v>
      </c>
      <c r="E664" s="1" t="str">
        <f>IF(W_カレンダー[[#This Row],[月]]&lt;=3,"Q4",IF(W_カレンダー[[#This Row],[月]]&lt;=6,"Q1",IF(W_カレンダー[[#This Row],[月]]&lt;=9,"Q2","Q3")))</f>
        <v>Q4</v>
      </c>
    </row>
    <row r="665" spans="1:5" ht="18" customHeight="1" x14ac:dyDescent="0.25">
      <c r="A665" s="27">
        <v>45680</v>
      </c>
      <c r="B665" s="29">
        <f>MONTH(W_カレンダー[[#This Row],[日付]])</f>
        <v>1</v>
      </c>
      <c r="C665" s="1">
        <f>YEAR(W_カレンダー[[#This Row],[日付]])</f>
        <v>2025</v>
      </c>
      <c r="D665" s="1">
        <f>IF(W_カレンダー[[#This Row],[月]]&lt;=3,W_カレンダー[[#This Row],[暦年]]-1,W_カレンダー[[#This Row],[暦年]])</f>
        <v>2024</v>
      </c>
      <c r="E665" s="1" t="str">
        <f>IF(W_カレンダー[[#This Row],[月]]&lt;=3,"Q4",IF(W_カレンダー[[#This Row],[月]]&lt;=6,"Q1",IF(W_カレンダー[[#This Row],[月]]&lt;=9,"Q2","Q3")))</f>
        <v>Q4</v>
      </c>
    </row>
    <row r="666" spans="1:5" ht="18" customHeight="1" x14ac:dyDescent="0.25">
      <c r="A666" s="27">
        <v>45681</v>
      </c>
      <c r="B666" s="29">
        <f>MONTH(W_カレンダー[[#This Row],[日付]])</f>
        <v>1</v>
      </c>
      <c r="C666" s="1">
        <f>YEAR(W_カレンダー[[#This Row],[日付]])</f>
        <v>2025</v>
      </c>
      <c r="D666" s="1">
        <f>IF(W_カレンダー[[#This Row],[月]]&lt;=3,W_カレンダー[[#This Row],[暦年]]-1,W_カレンダー[[#This Row],[暦年]])</f>
        <v>2024</v>
      </c>
      <c r="E666" s="1" t="str">
        <f>IF(W_カレンダー[[#This Row],[月]]&lt;=3,"Q4",IF(W_カレンダー[[#This Row],[月]]&lt;=6,"Q1",IF(W_カレンダー[[#This Row],[月]]&lt;=9,"Q2","Q3")))</f>
        <v>Q4</v>
      </c>
    </row>
    <row r="667" spans="1:5" ht="18" customHeight="1" x14ac:dyDescent="0.25">
      <c r="A667" s="27">
        <v>45682</v>
      </c>
      <c r="B667" s="29">
        <f>MONTH(W_カレンダー[[#This Row],[日付]])</f>
        <v>1</v>
      </c>
      <c r="C667" s="1">
        <f>YEAR(W_カレンダー[[#This Row],[日付]])</f>
        <v>2025</v>
      </c>
      <c r="D667" s="1">
        <f>IF(W_カレンダー[[#This Row],[月]]&lt;=3,W_カレンダー[[#This Row],[暦年]]-1,W_カレンダー[[#This Row],[暦年]])</f>
        <v>2024</v>
      </c>
      <c r="E667" s="1" t="str">
        <f>IF(W_カレンダー[[#This Row],[月]]&lt;=3,"Q4",IF(W_カレンダー[[#This Row],[月]]&lt;=6,"Q1",IF(W_カレンダー[[#This Row],[月]]&lt;=9,"Q2","Q3")))</f>
        <v>Q4</v>
      </c>
    </row>
    <row r="668" spans="1:5" ht="18" customHeight="1" x14ac:dyDescent="0.25">
      <c r="A668" s="27">
        <v>45683</v>
      </c>
      <c r="B668" s="29">
        <f>MONTH(W_カレンダー[[#This Row],[日付]])</f>
        <v>1</v>
      </c>
      <c r="C668" s="1">
        <f>YEAR(W_カレンダー[[#This Row],[日付]])</f>
        <v>2025</v>
      </c>
      <c r="D668" s="1">
        <f>IF(W_カレンダー[[#This Row],[月]]&lt;=3,W_カレンダー[[#This Row],[暦年]]-1,W_カレンダー[[#This Row],[暦年]])</f>
        <v>2024</v>
      </c>
      <c r="E668" s="1" t="str">
        <f>IF(W_カレンダー[[#This Row],[月]]&lt;=3,"Q4",IF(W_カレンダー[[#This Row],[月]]&lt;=6,"Q1",IF(W_カレンダー[[#This Row],[月]]&lt;=9,"Q2","Q3")))</f>
        <v>Q4</v>
      </c>
    </row>
    <row r="669" spans="1:5" ht="18" customHeight="1" x14ac:dyDescent="0.25">
      <c r="A669" s="27">
        <v>45684</v>
      </c>
      <c r="B669" s="29">
        <f>MONTH(W_カレンダー[[#This Row],[日付]])</f>
        <v>1</v>
      </c>
      <c r="C669" s="1">
        <f>YEAR(W_カレンダー[[#This Row],[日付]])</f>
        <v>2025</v>
      </c>
      <c r="D669" s="1">
        <f>IF(W_カレンダー[[#This Row],[月]]&lt;=3,W_カレンダー[[#This Row],[暦年]]-1,W_カレンダー[[#This Row],[暦年]])</f>
        <v>2024</v>
      </c>
      <c r="E669" s="1" t="str">
        <f>IF(W_カレンダー[[#This Row],[月]]&lt;=3,"Q4",IF(W_カレンダー[[#This Row],[月]]&lt;=6,"Q1",IF(W_カレンダー[[#This Row],[月]]&lt;=9,"Q2","Q3")))</f>
        <v>Q4</v>
      </c>
    </row>
    <row r="670" spans="1:5" ht="18" customHeight="1" x14ac:dyDescent="0.25">
      <c r="A670" s="27">
        <v>45685</v>
      </c>
      <c r="B670" s="29">
        <f>MONTH(W_カレンダー[[#This Row],[日付]])</f>
        <v>1</v>
      </c>
      <c r="C670" s="1">
        <f>YEAR(W_カレンダー[[#This Row],[日付]])</f>
        <v>2025</v>
      </c>
      <c r="D670" s="1">
        <f>IF(W_カレンダー[[#This Row],[月]]&lt;=3,W_カレンダー[[#This Row],[暦年]]-1,W_カレンダー[[#This Row],[暦年]])</f>
        <v>2024</v>
      </c>
      <c r="E670" s="1" t="str">
        <f>IF(W_カレンダー[[#This Row],[月]]&lt;=3,"Q4",IF(W_カレンダー[[#This Row],[月]]&lt;=6,"Q1",IF(W_カレンダー[[#This Row],[月]]&lt;=9,"Q2","Q3")))</f>
        <v>Q4</v>
      </c>
    </row>
    <row r="671" spans="1:5" ht="18" customHeight="1" x14ac:dyDescent="0.25">
      <c r="A671" s="27">
        <v>45686</v>
      </c>
      <c r="B671" s="29">
        <f>MONTH(W_カレンダー[[#This Row],[日付]])</f>
        <v>1</v>
      </c>
      <c r="C671" s="1">
        <f>YEAR(W_カレンダー[[#This Row],[日付]])</f>
        <v>2025</v>
      </c>
      <c r="D671" s="1">
        <f>IF(W_カレンダー[[#This Row],[月]]&lt;=3,W_カレンダー[[#This Row],[暦年]]-1,W_カレンダー[[#This Row],[暦年]])</f>
        <v>2024</v>
      </c>
      <c r="E671" s="1" t="str">
        <f>IF(W_カレンダー[[#This Row],[月]]&lt;=3,"Q4",IF(W_カレンダー[[#This Row],[月]]&lt;=6,"Q1",IF(W_カレンダー[[#This Row],[月]]&lt;=9,"Q2","Q3")))</f>
        <v>Q4</v>
      </c>
    </row>
    <row r="672" spans="1:5" ht="18" customHeight="1" x14ac:dyDescent="0.25">
      <c r="A672" s="27">
        <v>45687</v>
      </c>
      <c r="B672" s="29">
        <f>MONTH(W_カレンダー[[#This Row],[日付]])</f>
        <v>1</v>
      </c>
      <c r="C672" s="1">
        <f>YEAR(W_カレンダー[[#This Row],[日付]])</f>
        <v>2025</v>
      </c>
      <c r="D672" s="1">
        <f>IF(W_カレンダー[[#This Row],[月]]&lt;=3,W_カレンダー[[#This Row],[暦年]]-1,W_カレンダー[[#This Row],[暦年]])</f>
        <v>2024</v>
      </c>
      <c r="E672" s="1" t="str">
        <f>IF(W_カレンダー[[#This Row],[月]]&lt;=3,"Q4",IF(W_カレンダー[[#This Row],[月]]&lt;=6,"Q1",IF(W_カレンダー[[#This Row],[月]]&lt;=9,"Q2","Q3")))</f>
        <v>Q4</v>
      </c>
    </row>
    <row r="673" spans="1:5" ht="18" customHeight="1" x14ac:dyDescent="0.25">
      <c r="A673" s="27">
        <v>45688</v>
      </c>
      <c r="B673" s="29">
        <f>MONTH(W_カレンダー[[#This Row],[日付]])</f>
        <v>1</v>
      </c>
      <c r="C673" s="1">
        <f>YEAR(W_カレンダー[[#This Row],[日付]])</f>
        <v>2025</v>
      </c>
      <c r="D673" s="1">
        <f>IF(W_カレンダー[[#This Row],[月]]&lt;=3,W_カレンダー[[#This Row],[暦年]]-1,W_カレンダー[[#This Row],[暦年]])</f>
        <v>2024</v>
      </c>
      <c r="E673" s="1" t="str">
        <f>IF(W_カレンダー[[#This Row],[月]]&lt;=3,"Q4",IF(W_カレンダー[[#This Row],[月]]&lt;=6,"Q1",IF(W_カレンダー[[#This Row],[月]]&lt;=9,"Q2","Q3")))</f>
        <v>Q4</v>
      </c>
    </row>
    <row r="674" spans="1:5" ht="18" customHeight="1" x14ac:dyDescent="0.25">
      <c r="A674" s="27">
        <v>45689</v>
      </c>
      <c r="B674" s="29">
        <f>MONTH(W_カレンダー[[#This Row],[日付]])</f>
        <v>2</v>
      </c>
      <c r="C674" s="1">
        <f>YEAR(W_カレンダー[[#This Row],[日付]])</f>
        <v>2025</v>
      </c>
      <c r="D674" s="1">
        <f>IF(W_カレンダー[[#This Row],[月]]&lt;=3,W_カレンダー[[#This Row],[暦年]]-1,W_カレンダー[[#This Row],[暦年]])</f>
        <v>2024</v>
      </c>
      <c r="E674" s="1" t="str">
        <f>IF(W_カレンダー[[#This Row],[月]]&lt;=3,"Q4",IF(W_カレンダー[[#This Row],[月]]&lt;=6,"Q1",IF(W_カレンダー[[#This Row],[月]]&lt;=9,"Q2","Q3")))</f>
        <v>Q4</v>
      </c>
    </row>
    <row r="675" spans="1:5" ht="18" customHeight="1" x14ac:dyDescent="0.25">
      <c r="A675" s="27">
        <v>45690</v>
      </c>
      <c r="B675" s="29">
        <f>MONTH(W_カレンダー[[#This Row],[日付]])</f>
        <v>2</v>
      </c>
      <c r="C675" s="1">
        <f>YEAR(W_カレンダー[[#This Row],[日付]])</f>
        <v>2025</v>
      </c>
      <c r="D675" s="1">
        <f>IF(W_カレンダー[[#This Row],[月]]&lt;=3,W_カレンダー[[#This Row],[暦年]]-1,W_カレンダー[[#This Row],[暦年]])</f>
        <v>2024</v>
      </c>
      <c r="E675" s="1" t="str">
        <f>IF(W_カレンダー[[#This Row],[月]]&lt;=3,"Q4",IF(W_カレンダー[[#This Row],[月]]&lt;=6,"Q1",IF(W_カレンダー[[#This Row],[月]]&lt;=9,"Q2","Q3")))</f>
        <v>Q4</v>
      </c>
    </row>
    <row r="676" spans="1:5" ht="18" customHeight="1" x14ac:dyDescent="0.25">
      <c r="A676" s="27">
        <v>45691</v>
      </c>
      <c r="B676" s="29">
        <f>MONTH(W_カレンダー[[#This Row],[日付]])</f>
        <v>2</v>
      </c>
      <c r="C676" s="1">
        <f>YEAR(W_カレンダー[[#This Row],[日付]])</f>
        <v>2025</v>
      </c>
      <c r="D676" s="1">
        <f>IF(W_カレンダー[[#This Row],[月]]&lt;=3,W_カレンダー[[#This Row],[暦年]]-1,W_カレンダー[[#This Row],[暦年]])</f>
        <v>2024</v>
      </c>
      <c r="E676" s="1" t="str">
        <f>IF(W_カレンダー[[#This Row],[月]]&lt;=3,"Q4",IF(W_カレンダー[[#This Row],[月]]&lt;=6,"Q1",IF(W_カレンダー[[#This Row],[月]]&lt;=9,"Q2","Q3")))</f>
        <v>Q4</v>
      </c>
    </row>
    <row r="677" spans="1:5" ht="18" customHeight="1" x14ac:dyDescent="0.25">
      <c r="A677" s="27">
        <v>45692</v>
      </c>
      <c r="B677" s="29">
        <f>MONTH(W_カレンダー[[#This Row],[日付]])</f>
        <v>2</v>
      </c>
      <c r="C677" s="1">
        <f>YEAR(W_カレンダー[[#This Row],[日付]])</f>
        <v>2025</v>
      </c>
      <c r="D677" s="1">
        <f>IF(W_カレンダー[[#This Row],[月]]&lt;=3,W_カレンダー[[#This Row],[暦年]]-1,W_カレンダー[[#This Row],[暦年]])</f>
        <v>2024</v>
      </c>
      <c r="E677" s="1" t="str">
        <f>IF(W_カレンダー[[#This Row],[月]]&lt;=3,"Q4",IF(W_カレンダー[[#This Row],[月]]&lt;=6,"Q1",IF(W_カレンダー[[#This Row],[月]]&lt;=9,"Q2","Q3")))</f>
        <v>Q4</v>
      </c>
    </row>
    <row r="678" spans="1:5" ht="18" customHeight="1" x14ac:dyDescent="0.25">
      <c r="A678" s="27">
        <v>45693</v>
      </c>
      <c r="B678" s="29">
        <f>MONTH(W_カレンダー[[#This Row],[日付]])</f>
        <v>2</v>
      </c>
      <c r="C678" s="1">
        <f>YEAR(W_カレンダー[[#This Row],[日付]])</f>
        <v>2025</v>
      </c>
      <c r="D678" s="1">
        <f>IF(W_カレンダー[[#This Row],[月]]&lt;=3,W_カレンダー[[#This Row],[暦年]]-1,W_カレンダー[[#This Row],[暦年]])</f>
        <v>2024</v>
      </c>
      <c r="E678" s="1" t="str">
        <f>IF(W_カレンダー[[#This Row],[月]]&lt;=3,"Q4",IF(W_カレンダー[[#This Row],[月]]&lt;=6,"Q1",IF(W_カレンダー[[#This Row],[月]]&lt;=9,"Q2","Q3")))</f>
        <v>Q4</v>
      </c>
    </row>
    <row r="679" spans="1:5" ht="18" customHeight="1" x14ac:dyDescent="0.25">
      <c r="A679" s="27">
        <v>45694</v>
      </c>
      <c r="B679" s="29">
        <f>MONTH(W_カレンダー[[#This Row],[日付]])</f>
        <v>2</v>
      </c>
      <c r="C679" s="1">
        <f>YEAR(W_カレンダー[[#This Row],[日付]])</f>
        <v>2025</v>
      </c>
      <c r="D679" s="1">
        <f>IF(W_カレンダー[[#This Row],[月]]&lt;=3,W_カレンダー[[#This Row],[暦年]]-1,W_カレンダー[[#This Row],[暦年]])</f>
        <v>2024</v>
      </c>
      <c r="E679" s="1" t="str">
        <f>IF(W_カレンダー[[#This Row],[月]]&lt;=3,"Q4",IF(W_カレンダー[[#This Row],[月]]&lt;=6,"Q1",IF(W_カレンダー[[#This Row],[月]]&lt;=9,"Q2","Q3")))</f>
        <v>Q4</v>
      </c>
    </row>
    <row r="680" spans="1:5" ht="18" customHeight="1" x14ac:dyDescent="0.25">
      <c r="A680" s="27">
        <v>45695</v>
      </c>
      <c r="B680" s="29">
        <f>MONTH(W_カレンダー[[#This Row],[日付]])</f>
        <v>2</v>
      </c>
      <c r="C680" s="1">
        <f>YEAR(W_カレンダー[[#This Row],[日付]])</f>
        <v>2025</v>
      </c>
      <c r="D680" s="1">
        <f>IF(W_カレンダー[[#This Row],[月]]&lt;=3,W_カレンダー[[#This Row],[暦年]]-1,W_カレンダー[[#This Row],[暦年]])</f>
        <v>2024</v>
      </c>
      <c r="E680" s="1" t="str">
        <f>IF(W_カレンダー[[#This Row],[月]]&lt;=3,"Q4",IF(W_カレンダー[[#This Row],[月]]&lt;=6,"Q1",IF(W_カレンダー[[#This Row],[月]]&lt;=9,"Q2","Q3")))</f>
        <v>Q4</v>
      </c>
    </row>
    <row r="681" spans="1:5" ht="18" customHeight="1" x14ac:dyDescent="0.25">
      <c r="A681" s="27">
        <v>45696</v>
      </c>
      <c r="B681" s="29">
        <f>MONTH(W_カレンダー[[#This Row],[日付]])</f>
        <v>2</v>
      </c>
      <c r="C681" s="1">
        <f>YEAR(W_カレンダー[[#This Row],[日付]])</f>
        <v>2025</v>
      </c>
      <c r="D681" s="1">
        <f>IF(W_カレンダー[[#This Row],[月]]&lt;=3,W_カレンダー[[#This Row],[暦年]]-1,W_カレンダー[[#This Row],[暦年]])</f>
        <v>2024</v>
      </c>
      <c r="E681" s="1" t="str">
        <f>IF(W_カレンダー[[#This Row],[月]]&lt;=3,"Q4",IF(W_カレンダー[[#This Row],[月]]&lt;=6,"Q1",IF(W_カレンダー[[#This Row],[月]]&lt;=9,"Q2","Q3")))</f>
        <v>Q4</v>
      </c>
    </row>
    <row r="682" spans="1:5" ht="18" customHeight="1" x14ac:dyDescent="0.25">
      <c r="A682" s="27">
        <v>45697</v>
      </c>
      <c r="B682" s="29">
        <f>MONTH(W_カレンダー[[#This Row],[日付]])</f>
        <v>2</v>
      </c>
      <c r="C682" s="1">
        <f>YEAR(W_カレンダー[[#This Row],[日付]])</f>
        <v>2025</v>
      </c>
      <c r="D682" s="1">
        <f>IF(W_カレンダー[[#This Row],[月]]&lt;=3,W_カレンダー[[#This Row],[暦年]]-1,W_カレンダー[[#This Row],[暦年]])</f>
        <v>2024</v>
      </c>
      <c r="E682" s="1" t="str">
        <f>IF(W_カレンダー[[#This Row],[月]]&lt;=3,"Q4",IF(W_カレンダー[[#This Row],[月]]&lt;=6,"Q1",IF(W_カレンダー[[#This Row],[月]]&lt;=9,"Q2","Q3")))</f>
        <v>Q4</v>
      </c>
    </row>
    <row r="683" spans="1:5" ht="18" customHeight="1" x14ac:dyDescent="0.25">
      <c r="A683" s="27">
        <v>45698</v>
      </c>
      <c r="B683" s="29">
        <f>MONTH(W_カレンダー[[#This Row],[日付]])</f>
        <v>2</v>
      </c>
      <c r="C683" s="1">
        <f>YEAR(W_カレンダー[[#This Row],[日付]])</f>
        <v>2025</v>
      </c>
      <c r="D683" s="1">
        <f>IF(W_カレンダー[[#This Row],[月]]&lt;=3,W_カレンダー[[#This Row],[暦年]]-1,W_カレンダー[[#This Row],[暦年]])</f>
        <v>2024</v>
      </c>
      <c r="E683" s="1" t="str">
        <f>IF(W_カレンダー[[#This Row],[月]]&lt;=3,"Q4",IF(W_カレンダー[[#This Row],[月]]&lt;=6,"Q1",IF(W_カレンダー[[#This Row],[月]]&lt;=9,"Q2","Q3")))</f>
        <v>Q4</v>
      </c>
    </row>
    <row r="684" spans="1:5" ht="18" customHeight="1" x14ac:dyDescent="0.25">
      <c r="A684" s="27">
        <v>45699</v>
      </c>
      <c r="B684" s="29">
        <f>MONTH(W_カレンダー[[#This Row],[日付]])</f>
        <v>2</v>
      </c>
      <c r="C684" s="1">
        <f>YEAR(W_カレンダー[[#This Row],[日付]])</f>
        <v>2025</v>
      </c>
      <c r="D684" s="1">
        <f>IF(W_カレンダー[[#This Row],[月]]&lt;=3,W_カレンダー[[#This Row],[暦年]]-1,W_カレンダー[[#This Row],[暦年]])</f>
        <v>2024</v>
      </c>
      <c r="E684" s="1" t="str">
        <f>IF(W_カレンダー[[#This Row],[月]]&lt;=3,"Q4",IF(W_カレンダー[[#This Row],[月]]&lt;=6,"Q1",IF(W_カレンダー[[#This Row],[月]]&lt;=9,"Q2","Q3")))</f>
        <v>Q4</v>
      </c>
    </row>
    <row r="685" spans="1:5" ht="18" customHeight="1" x14ac:dyDescent="0.25">
      <c r="A685" s="27">
        <v>45700</v>
      </c>
      <c r="B685" s="29">
        <f>MONTH(W_カレンダー[[#This Row],[日付]])</f>
        <v>2</v>
      </c>
      <c r="C685" s="1">
        <f>YEAR(W_カレンダー[[#This Row],[日付]])</f>
        <v>2025</v>
      </c>
      <c r="D685" s="1">
        <f>IF(W_カレンダー[[#This Row],[月]]&lt;=3,W_カレンダー[[#This Row],[暦年]]-1,W_カレンダー[[#This Row],[暦年]])</f>
        <v>2024</v>
      </c>
      <c r="E685" s="1" t="str">
        <f>IF(W_カレンダー[[#This Row],[月]]&lt;=3,"Q4",IF(W_カレンダー[[#This Row],[月]]&lt;=6,"Q1",IF(W_カレンダー[[#This Row],[月]]&lt;=9,"Q2","Q3")))</f>
        <v>Q4</v>
      </c>
    </row>
    <row r="686" spans="1:5" ht="18" customHeight="1" x14ac:dyDescent="0.25">
      <c r="A686" s="27">
        <v>45701</v>
      </c>
      <c r="B686" s="29">
        <f>MONTH(W_カレンダー[[#This Row],[日付]])</f>
        <v>2</v>
      </c>
      <c r="C686" s="1">
        <f>YEAR(W_カレンダー[[#This Row],[日付]])</f>
        <v>2025</v>
      </c>
      <c r="D686" s="1">
        <f>IF(W_カレンダー[[#This Row],[月]]&lt;=3,W_カレンダー[[#This Row],[暦年]]-1,W_カレンダー[[#This Row],[暦年]])</f>
        <v>2024</v>
      </c>
      <c r="E686" s="1" t="str">
        <f>IF(W_カレンダー[[#This Row],[月]]&lt;=3,"Q4",IF(W_カレンダー[[#This Row],[月]]&lt;=6,"Q1",IF(W_カレンダー[[#This Row],[月]]&lt;=9,"Q2","Q3")))</f>
        <v>Q4</v>
      </c>
    </row>
    <row r="687" spans="1:5" ht="18" customHeight="1" x14ac:dyDescent="0.25">
      <c r="A687" s="27">
        <v>45702</v>
      </c>
      <c r="B687" s="29">
        <f>MONTH(W_カレンダー[[#This Row],[日付]])</f>
        <v>2</v>
      </c>
      <c r="C687" s="1">
        <f>YEAR(W_カレンダー[[#This Row],[日付]])</f>
        <v>2025</v>
      </c>
      <c r="D687" s="1">
        <f>IF(W_カレンダー[[#This Row],[月]]&lt;=3,W_カレンダー[[#This Row],[暦年]]-1,W_カレンダー[[#This Row],[暦年]])</f>
        <v>2024</v>
      </c>
      <c r="E687" s="1" t="str">
        <f>IF(W_カレンダー[[#This Row],[月]]&lt;=3,"Q4",IF(W_カレンダー[[#This Row],[月]]&lt;=6,"Q1",IF(W_カレンダー[[#This Row],[月]]&lt;=9,"Q2","Q3")))</f>
        <v>Q4</v>
      </c>
    </row>
    <row r="688" spans="1:5" ht="18" customHeight="1" x14ac:dyDescent="0.25">
      <c r="A688" s="27">
        <v>45703</v>
      </c>
      <c r="B688" s="29">
        <f>MONTH(W_カレンダー[[#This Row],[日付]])</f>
        <v>2</v>
      </c>
      <c r="C688" s="1">
        <f>YEAR(W_カレンダー[[#This Row],[日付]])</f>
        <v>2025</v>
      </c>
      <c r="D688" s="1">
        <f>IF(W_カレンダー[[#This Row],[月]]&lt;=3,W_カレンダー[[#This Row],[暦年]]-1,W_カレンダー[[#This Row],[暦年]])</f>
        <v>2024</v>
      </c>
      <c r="E688" s="1" t="str">
        <f>IF(W_カレンダー[[#This Row],[月]]&lt;=3,"Q4",IF(W_カレンダー[[#This Row],[月]]&lt;=6,"Q1",IF(W_カレンダー[[#This Row],[月]]&lt;=9,"Q2","Q3")))</f>
        <v>Q4</v>
      </c>
    </row>
    <row r="689" spans="1:5" ht="18" customHeight="1" x14ac:dyDescent="0.25">
      <c r="A689" s="27">
        <v>45704</v>
      </c>
      <c r="B689" s="29">
        <f>MONTH(W_カレンダー[[#This Row],[日付]])</f>
        <v>2</v>
      </c>
      <c r="C689" s="1">
        <f>YEAR(W_カレンダー[[#This Row],[日付]])</f>
        <v>2025</v>
      </c>
      <c r="D689" s="1">
        <f>IF(W_カレンダー[[#This Row],[月]]&lt;=3,W_カレンダー[[#This Row],[暦年]]-1,W_カレンダー[[#This Row],[暦年]])</f>
        <v>2024</v>
      </c>
      <c r="E689" s="1" t="str">
        <f>IF(W_カレンダー[[#This Row],[月]]&lt;=3,"Q4",IF(W_カレンダー[[#This Row],[月]]&lt;=6,"Q1",IF(W_カレンダー[[#This Row],[月]]&lt;=9,"Q2","Q3")))</f>
        <v>Q4</v>
      </c>
    </row>
    <row r="690" spans="1:5" ht="18" customHeight="1" x14ac:dyDescent="0.25">
      <c r="A690" s="27">
        <v>45705</v>
      </c>
      <c r="B690" s="29">
        <f>MONTH(W_カレンダー[[#This Row],[日付]])</f>
        <v>2</v>
      </c>
      <c r="C690" s="1">
        <f>YEAR(W_カレンダー[[#This Row],[日付]])</f>
        <v>2025</v>
      </c>
      <c r="D690" s="1">
        <f>IF(W_カレンダー[[#This Row],[月]]&lt;=3,W_カレンダー[[#This Row],[暦年]]-1,W_カレンダー[[#This Row],[暦年]])</f>
        <v>2024</v>
      </c>
      <c r="E690" s="1" t="str">
        <f>IF(W_カレンダー[[#This Row],[月]]&lt;=3,"Q4",IF(W_カレンダー[[#This Row],[月]]&lt;=6,"Q1",IF(W_カレンダー[[#This Row],[月]]&lt;=9,"Q2","Q3")))</f>
        <v>Q4</v>
      </c>
    </row>
    <row r="691" spans="1:5" ht="18" customHeight="1" x14ac:dyDescent="0.25">
      <c r="A691" s="27">
        <v>45706</v>
      </c>
      <c r="B691" s="29">
        <f>MONTH(W_カレンダー[[#This Row],[日付]])</f>
        <v>2</v>
      </c>
      <c r="C691" s="1">
        <f>YEAR(W_カレンダー[[#This Row],[日付]])</f>
        <v>2025</v>
      </c>
      <c r="D691" s="1">
        <f>IF(W_カレンダー[[#This Row],[月]]&lt;=3,W_カレンダー[[#This Row],[暦年]]-1,W_カレンダー[[#This Row],[暦年]])</f>
        <v>2024</v>
      </c>
      <c r="E691" s="1" t="str">
        <f>IF(W_カレンダー[[#This Row],[月]]&lt;=3,"Q4",IF(W_カレンダー[[#This Row],[月]]&lt;=6,"Q1",IF(W_カレンダー[[#This Row],[月]]&lt;=9,"Q2","Q3")))</f>
        <v>Q4</v>
      </c>
    </row>
    <row r="692" spans="1:5" ht="18" customHeight="1" x14ac:dyDescent="0.25">
      <c r="A692" s="27">
        <v>45707</v>
      </c>
      <c r="B692" s="29">
        <f>MONTH(W_カレンダー[[#This Row],[日付]])</f>
        <v>2</v>
      </c>
      <c r="C692" s="1">
        <f>YEAR(W_カレンダー[[#This Row],[日付]])</f>
        <v>2025</v>
      </c>
      <c r="D692" s="1">
        <f>IF(W_カレンダー[[#This Row],[月]]&lt;=3,W_カレンダー[[#This Row],[暦年]]-1,W_カレンダー[[#This Row],[暦年]])</f>
        <v>2024</v>
      </c>
      <c r="E692" s="1" t="str">
        <f>IF(W_カレンダー[[#This Row],[月]]&lt;=3,"Q4",IF(W_カレンダー[[#This Row],[月]]&lt;=6,"Q1",IF(W_カレンダー[[#This Row],[月]]&lt;=9,"Q2","Q3")))</f>
        <v>Q4</v>
      </c>
    </row>
    <row r="693" spans="1:5" ht="18" customHeight="1" x14ac:dyDescent="0.25">
      <c r="A693" s="27">
        <v>45708</v>
      </c>
      <c r="B693" s="29">
        <f>MONTH(W_カレンダー[[#This Row],[日付]])</f>
        <v>2</v>
      </c>
      <c r="C693" s="1">
        <f>YEAR(W_カレンダー[[#This Row],[日付]])</f>
        <v>2025</v>
      </c>
      <c r="D693" s="1">
        <f>IF(W_カレンダー[[#This Row],[月]]&lt;=3,W_カレンダー[[#This Row],[暦年]]-1,W_カレンダー[[#This Row],[暦年]])</f>
        <v>2024</v>
      </c>
      <c r="E693" s="1" t="str">
        <f>IF(W_カレンダー[[#This Row],[月]]&lt;=3,"Q4",IF(W_カレンダー[[#This Row],[月]]&lt;=6,"Q1",IF(W_カレンダー[[#This Row],[月]]&lt;=9,"Q2","Q3")))</f>
        <v>Q4</v>
      </c>
    </row>
    <row r="694" spans="1:5" ht="18" customHeight="1" x14ac:dyDescent="0.25">
      <c r="A694" s="27">
        <v>45709</v>
      </c>
      <c r="B694" s="29">
        <f>MONTH(W_カレンダー[[#This Row],[日付]])</f>
        <v>2</v>
      </c>
      <c r="C694" s="1">
        <f>YEAR(W_カレンダー[[#This Row],[日付]])</f>
        <v>2025</v>
      </c>
      <c r="D694" s="1">
        <f>IF(W_カレンダー[[#This Row],[月]]&lt;=3,W_カレンダー[[#This Row],[暦年]]-1,W_カレンダー[[#This Row],[暦年]])</f>
        <v>2024</v>
      </c>
      <c r="E694" s="1" t="str">
        <f>IF(W_カレンダー[[#This Row],[月]]&lt;=3,"Q4",IF(W_カレンダー[[#This Row],[月]]&lt;=6,"Q1",IF(W_カレンダー[[#This Row],[月]]&lt;=9,"Q2","Q3")))</f>
        <v>Q4</v>
      </c>
    </row>
    <row r="695" spans="1:5" ht="18" customHeight="1" x14ac:dyDescent="0.25">
      <c r="A695" s="27">
        <v>45710</v>
      </c>
      <c r="B695" s="29">
        <f>MONTH(W_カレンダー[[#This Row],[日付]])</f>
        <v>2</v>
      </c>
      <c r="C695" s="1">
        <f>YEAR(W_カレンダー[[#This Row],[日付]])</f>
        <v>2025</v>
      </c>
      <c r="D695" s="1">
        <f>IF(W_カレンダー[[#This Row],[月]]&lt;=3,W_カレンダー[[#This Row],[暦年]]-1,W_カレンダー[[#This Row],[暦年]])</f>
        <v>2024</v>
      </c>
      <c r="E695" s="1" t="str">
        <f>IF(W_カレンダー[[#This Row],[月]]&lt;=3,"Q4",IF(W_カレンダー[[#This Row],[月]]&lt;=6,"Q1",IF(W_カレンダー[[#This Row],[月]]&lt;=9,"Q2","Q3")))</f>
        <v>Q4</v>
      </c>
    </row>
    <row r="696" spans="1:5" ht="18" customHeight="1" x14ac:dyDescent="0.25">
      <c r="A696" s="27">
        <v>45711</v>
      </c>
      <c r="B696" s="29">
        <f>MONTH(W_カレンダー[[#This Row],[日付]])</f>
        <v>2</v>
      </c>
      <c r="C696" s="1">
        <f>YEAR(W_カレンダー[[#This Row],[日付]])</f>
        <v>2025</v>
      </c>
      <c r="D696" s="1">
        <f>IF(W_カレンダー[[#This Row],[月]]&lt;=3,W_カレンダー[[#This Row],[暦年]]-1,W_カレンダー[[#This Row],[暦年]])</f>
        <v>2024</v>
      </c>
      <c r="E696" s="1" t="str">
        <f>IF(W_カレンダー[[#This Row],[月]]&lt;=3,"Q4",IF(W_カレンダー[[#This Row],[月]]&lt;=6,"Q1",IF(W_カレンダー[[#This Row],[月]]&lt;=9,"Q2","Q3")))</f>
        <v>Q4</v>
      </c>
    </row>
    <row r="697" spans="1:5" ht="18" customHeight="1" x14ac:dyDescent="0.25">
      <c r="A697" s="27">
        <v>45712</v>
      </c>
      <c r="B697" s="29">
        <f>MONTH(W_カレンダー[[#This Row],[日付]])</f>
        <v>2</v>
      </c>
      <c r="C697" s="1">
        <f>YEAR(W_カレンダー[[#This Row],[日付]])</f>
        <v>2025</v>
      </c>
      <c r="D697" s="1">
        <f>IF(W_カレンダー[[#This Row],[月]]&lt;=3,W_カレンダー[[#This Row],[暦年]]-1,W_カレンダー[[#This Row],[暦年]])</f>
        <v>2024</v>
      </c>
      <c r="E697" s="1" t="str">
        <f>IF(W_カレンダー[[#This Row],[月]]&lt;=3,"Q4",IF(W_カレンダー[[#This Row],[月]]&lt;=6,"Q1",IF(W_カレンダー[[#This Row],[月]]&lt;=9,"Q2","Q3")))</f>
        <v>Q4</v>
      </c>
    </row>
    <row r="698" spans="1:5" ht="18" customHeight="1" x14ac:dyDescent="0.25">
      <c r="A698" s="27">
        <v>45713</v>
      </c>
      <c r="B698" s="29">
        <f>MONTH(W_カレンダー[[#This Row],[日付]])</f>
        <v>2</v>
      </c>
      <c r="C698" s="1">
        <f>YEAR(W_カレンダー[[#This Row],[日付]])</f>
        <v>2025</v>
      </c>
      <c r="D698" s="1">
        <f>IF(W_カレンダー[[#This Row],[月]]&lt;=3,W_カレンダー[[#This Row],[暦年]]-1,W_カレンダー[[#This Row],[暦年]])</f>
        <v>2024</v>
      </c>
      <c r="E698" s="1" t="str">
        <f>IF(W_カレンダー[[#This Row],[月]]&lt;=3,"Q4",IF(W_カレンダー[[#This Row],[月]]&lt;=6,"Q1",IF(W_カレンダー[[#This Row],[月]]&lt;=9,"Q2","Q3")))</f>
        <v>Q4</v>
      </c>
    </row>
    <row r="699" spans="1:5" ht="18" customHeight="1" x14ac:dyDescent="0.25">
      <c r="A699" s="27">
        <v>45714</v>
      </c>
      <c r="B699" s="29">
        <f>MONTH(W_カレンダー[[#This Row],[日付]])</f>
        <v>2</v>
      </c>
      <c r="C699" s="1">
        <f>YEAR(W_カレンダー[[#This Row],[日付]])</f>
        <v>2025</v>
      </c>
      <c r="D699" s="1">
        <f>IF(W_カレンダー[[#This Row],[月]]&lt;=3,W_カレンダー[[#This Row],[暦年]]-1,W_カレンダー[[#This Row],[暦年]])</f>
        <v>2024</v>
      </c>
      <c r="E699" s="1" t="str">
        <f>IF(W_カレンダー[[#This Row],[月]]&lt;=3,"Q4",IF(W_カレンダー[[#This Row],[月]]&lt;=6,"Q1",IF(W_カレンダー[[#This Row],[月]]&lt;=9,"Q2","Q3")))</f>
        <v>Q4</v>
      </c>
    </row>
    <row r="700" spans="1:5" ht="18" customHeight="1" x14ac:dyDescent="0.25">
      <c r="A700" s="27">
        <v>45715</v>
      </c>
      <c r="B700" s="29">
        <f>MONTH(W_カレンダー[[#This Row],[日付]])</f>
        <v>2</v>
      </c>
      <c r="C700" s="1">
        <f>YEAR(W_カレンダー[[#This Row],[日付]])</f>
        <v>2025</v>
      </c>
      <c r="D700" s="1">
        <f>IF(W_カレンダー[[#This Row],[月]]&lt;=3,W_カレンダー[[#This Row],[暦年]]-1,W_カレンダー[[#This Row],[暦年]])</f>
        <v>2024</v>
      </c>
      <c r="E700" s="1" t="str">
        <f>IF(W_カレンダー[[#This Row],[月]]&lt;=3,"Q4",IF(W_カレンダー[[#This Row],[月]]&lt;=6,"Q1",IF(W_カレンダー[[#This Row],[月]]&lt;=9,"Q2","Q3")))</f>
        <v>Q4</v>
      </c>
    </row>
    <row r="701" spans="1:5" ht="18" customHeight="1" x14ac:dyDescent="0.25">
      <c r="A701" s="27">
        <v>45716</v>
      </c>
      <c r="B701" s="29">
        <f>MONTH(W_カレンダー[[#This Row],[日付]])</f>
        <v>2</v>
      </c>
      <c r="C701" s="1">
        <f>YEAR(W_カレンダー[[#This Row],[日付]])</f>
        <v>2025</v>
      </c>
      <c r="D701" s="1">
        <f>IF(W_カレンダー[[#This Row],[月]]&lt;=3,W_カレンダー[[#This Row],[暦年]]-1,W_カレンダー[[#This Row],[暦年]])</f>
        <v>2024</v>
      </c>
      <c r="E701" s="1" t="str">
        <f>IF(W_カレンダー[[#This Row],[月]]&lt;=3,"Q4",IF(W_カレンダー[[#This Row],[月]]&lt;=6,"Q1",IF(W_カレンダー[[#This Row],[月]]&lt;=9,"Q2","Q3")))</f>
        <v>Q4</v>
      </c>
    </row>
    <row r="702" spans="1:5" ht="18" customHeight="1" x14ac:dyDescent="0.25">
      <c r="A702" s="27">
        <v>45717</v>
      </c>
      <c r="B702" s="29">
        <f>MONTH(W_カレンダー[[#This Row],[日付]])</f>
        <v>3</v>
      </c>
      <c r="C702" s="1">
        <f>YEAR(W_カレンダー[[#This Row],[日付]])</f>
        <v>2025</v>
      </c>
      <c r="D702" s="1">
        <f>IF(W_カレンダー[[#This Row],[月]]&lt;=3,W_カレンダー[[#This Row],[暦年]]-1,W_カレンダー[[#This Row],[暦年]])</f>
        <v>2024</v>
      </c>
      <c r="E702" s="1" t="str">
        <f>IF(W_カレンダー[[#This Row],[月]]&lt;=3,"Q4",IF(W_カレンダー[[#This Row],[月]]&lt;=6,"Q1",IF(W_カレンダー[[#This Row],[月]]&lt;=9,"Q2","Q3")))</f>
        <v>Q4</v>
      </c>
    </row>
    <row r="703" spans="1:5" ht="18" customHeight="1" x14ac:dyDescent="0.25">
      <c r="A703" s="27">
        <v>45718</v>
      </c>
      <c r="B703" s="29">
        <f>MONTH(W_カレンダー[[#This Row],[日付]])</f>
        <v>3</v>
      </c>
      <c r="C703" s="1">
        <f>YEAR(W_カレンダー[[#This Row],[日付]])</f>
        <v>2025</v>
      </c>
      <c r="D703" s="1">
        <f>IF(W_カレンダー[[#This Row],[月]]&lt;=3,W_カレンダー[[#This Row],[暦年]]-1,W_カレンダー[[#This Row],[暦年]])</f>
        <v>2024</v>
      </c>
      <c r="E703" s="1" t="str">
        <f>IF(W_カレンダー[[#This Row],[月]]&lt;=3,"Q4",IF(W_カレンダー[[#This Row],[月]]&lt;=6,"Q1",IF(W_カレンダー[[#This Row],[月]]&lt;=9,"Q2","Q3")))</f>
        <v>Q4</v>
      </c>
    </row>
    <row r="704" spans="1:5" ht="18" customHeight="1" x14ac:dyDescent="0.25">
      <c r="A704" s="27">
        <v>45719</v>
      </c>
      <c r="B704" s="29">
        <f>MONTH(W_カレンダー[[#This Row],[日付]])</f>
        <v>3</v>
      </c>
      <c r="C704" s="1">
        <f>YEAR(W_カレンダー[[#This Row],[日付]])</f>
        <v>2025</v>
      </c>
      <c r="D704" s="1">
        <f>IF(W_カレンダー[[#This Row],[月]]&lt;=3,W_カレンダー[[#This Row],[暦年]]-1,W_カレンダー[[#This Row],[暦年]])</f>
        <v>2024</v>
      </c>
      <c r="E704" s="1" t="str">
        <f>IF(W_カレンダー[[#This Row],[月]]&lt;=3,"Q4",IF(W_カレンダー[[#This Row],[月]]&lt;=6,"Q1",IF(W_カレンダー[[#This Row],[月]]&lt;=9,"Q2","Q3")))</f>
        <v>Q4</v>
      </c>
    </row>
    <row r="705" spans="1:5" ht="18" customHeight="1" x14ac:dyDescent="0.25">
      <c r="A705" s="27">
        <v>45720</v>
      </c>
      <c r="B705" s="29">
        <f>MONTH(W_カレンダー[[#This Row],[日付]])</f>
        <v>3</v>
      </c>
      <c r="C705" s="1">
        <f>YEAR(W_カレンダー[[#This Row],[日付]])</f>
        <v>2025</v>
      </c>
      <c r="D705" s="1">
        <f>IF(W_カレンダー[[#This Row],[月]]&lt;=3,W_カレンダー[[#This Row],[暦年]]-1,W_カレンダー[[#This Row],[暦年]])</f>
        <v>2024</v>
      </c>
      <c r="E705" s="1" t="str">
        <f>IF(W_カレンダー[[#This Row],[月]]&lt;=3,"Q4",IF(W_カレンダー[[#This Row],[月]]&lt;=6,"Q1",IF(W_カレンダー[[#This Row],[月]]&lt;=9,"Q2","Q3")))</f>
        <v>Q4</v>
      </c>
    </row>
    <row r="706" spans="1:5" ht="18" customHeight="1" x14ac:dyDescent="0.25">
      <c r="A706" s="27">
        <v>45721</v>
      </c>
      <c r="B706" s="29">
        <f>MONTH(W_カレンダー[[#This Row],[日付]])</f>
        <v>3</v>
      </c>
      <c r="C706" s="1">
        <f>YEAR(W_カレンダー[[#This Row],[日付]])</f>
        <v>2025</v>
      </c>
      <c r="D706" s="1">
        <f>IF(W_カレンダー[[#This Row],[月]]&lt;=3,W_カレンダー[[#This Row],[暦年]]-1,W_カレンダー[[#This Row],[暦年]])</f>
        <v>2024</v>
      </c>
      <c r="E706" s="1" t="str">
        <f>IF(W_カレンダー[[#This Row],[月]]&lt;=3,"Q4",IF(W_カレンダー[[#This Row],[月]]&lt;=6,"Q1",IF(W_カレンダー[[#This Row],[月]]&lt;=9,"Q2","Q3")))</f>
        <v>Q4</v>
      </c>
    </row>
    <row r="707" spans="1:5" ht="18" customHeight="1" x14ac:dyDescent="0.25">
      <c r="A707" s="27">
        <v>45722</v>
      </c>
      <c r="B707" s="29">
        <f>MONTH(W_カレンダー[[#This Row],[日付]])</f>
        <v>3</v>
      </c>
      <c r="C707" s="1">
        <f>YEAR(W_カレンダー[[#This Row],[日付]])</f>
        <v>2025</v>
      </c>
      <c r="D707" s="1">
        <f>IF(W_カレンダー[[#This Row],[月]]&lt;=3,W_カレンダー[[#This Row],[暦年]]-1,W_カレンダー[[#This Row],[暦年]])</f>
        <v>2024</v>
      </c>
      <c r="E707" s="1" t="str">
        <f>IF(W_カレンダー[[#This Row],[月]]&lt;=3,"Q4",IF(W_カレンダー[[#This Row],[月]]&lt;=6,"Q1",IF(W_カレンダー[[#This Row],[月]]&lt;=9,"Q2","Q3")))</f>
        <v>Q4</v>
      </c>
    </row>
    <row r="708" spans="1:5" ht="18" customHeight="1" x14ac:dyDescent="0.25">
      <c r="A708" s="27">
        <v>45723</v>
      </c>
      <c r="B708" s="29">
        <f>MONTH(W_カレンダー[[#This Row],[日付]])</f>
        <v>3</v>
      </c>
      <c r="C708" s="1">
        <f>YEAR(W_カレンダー[[#This Row],[日付]])</f>
        <v>2025</v>
      </c>
      <c r="D708" s="1">
        <f>IF(W_カレンダー[[#This Row],[月]]&lt;=3,W_カレンダー[[#This Row],[暦年]]-1,W_カレンダー[[#This Row],[暦年]])</f>
        <v>2024</v>
      </c>
      <c r="E708" s="1" t="str">
        <f>IF(W_カレンダー[[#This Row],[月]]&lt;=3,"Q4",IF(W_カレンダー[[#This Row],[月]]&lt;=6,"Q1",IF(W_カレンダー[[#This Row],[月]]&lt;=9,"Q2","Q3")))</f>
        <v>Q4</v>
      </c>
    </row>
    <row r="709" spans="1:5" ht="18" customHeight="1" x14ac:dyDescent="0.25">
      <c r="A709" s="27">
        <v>45724</v>
      </c>
      <c r="B709" s="29">
        <f>MONTH(W_カレンダー[[#This Row],[日付]])</f>
        <v>3</v>
      </c>
      <c r="C709" s="1">
        <f>YEAR(W_カレンダー[[#This Row],[日付]])</f>
        <v>2025</v>
      </c>
      <c r="D709" s="1">
        <f>IF(W_カレンダー[[#This Row],[月]]&lt;=3,W_カレンダー[[#This Row],[暦年]]-1,W_カレンダー[[#This Row],[暦年]])</f>
        <v>2024</v>
      </c>
      <c r="E709" s="1" t="str">
        <f>IF(W_カレンダー[[#This Row],[月]]&lt;=3,"Q4",IF(W_カレンダー[[#This Row],[月]]&lt;=6,"Q1",IF(W_カレンダー[[#This Row],[月]]&lt;=9,"Q2","Q3")))</f>
        <v>Q4</v>
      </c>
    </row>
    <row r="710" spans="1:5" ht="18" customHeight="1" x14ac:dyDescent="0.25">
      <c r="A710" s="27">
        <v>45725</v>
      </c>
      <c r="B710" s="29">
        <f>MONTH(W_カレンダー[[#This Row],[日付]])</f>
        <v>3</v>
      </c>
      <c r="C710" s="1">
        <f>YEAR(W_カレンダー[[#This Row],[日付]])</f>
        <v>2025</v>
      </c>
      <c r="D710" s="1">
        <f>IF(W_カレンダー[[#This Row],[月]]&lt;=3,W_カレンダー[[#This Row],[暦年]]-1,W_カレンダー[[#This Row],[暦年]])</f>
        <v>2024</v>
      </c>
      <c r="E710" s="1" t="str">
        <f>IF(W_カレンダー[[#This Row],[月]]&lt;=3,"Q4",IF(W_カレンダー[[#This Row],[月]]&lt;=6,"Q1",IF(W_カレンダー[[#This Row],[月]]&lt;=9,"Q2","Q3")))</f>
        <v>Q4</v>
      </c>
    </row>
    <row r="711" spans="1:5" ht="18" customHeight="1" x14ac:dyDescent="0.25">
      <c r="A711" s="27">
        <v>45726</v>
      </c>
      <c r="B711" s="29">
        <f>MONTH(W_カレンダー[[#This Row],[日付]])</f>
        <v>3</v>
      </c>
      <c r="C711" s="1">
        <f>YEAR(W_カレンダー[[#This Row],[日付]])</f>
        <v>2025</v>
      </c>
      <c r="D711" s="1">
        <f>IF(W_カレンダー[[#This Row],[月]]&lt;=3,W_カレンダー[[#This Row],[暦年]]-1,W_カレンダー[[#This Row],[暦年]])</f>
        <v>2024</v>
      </c>
      <c r="E711" s="1" t="str">
        <f>IF(W_カレンダー[[#This Row],[月]]&lt;=3,"Q4",IF(W_カレンダー[[#This Row],[月]]&lt;=6,"Q1",IF(W_カレンダー[[#This Row],[月]]&lt;=9,"Q2","Q3")))</f>
        <v>Q4</v>
      </c>
    </row>
    <row r="712" spans="1:5" ht="18" customHeight="1" x14ac:dyDescent="0.25">
      <c r="A712" s="27">
        <v>45727</v>
      </c>
      <c r="B712" s="29">
        <f>MONTH(W_カレンダー[[#This Row],[日付]])</f>
        <v>3</v>
      </c>
      <c r="C712" s="1">
        <f>YEAR(W_カレンダー[[#This Row],[日付]])</f>
        <v>2025</v>
      </c>
      <c r="D712" s="1">
        <f>IF(W_カレンダー[[#This Row],[月]]&lt;=3,W_カレンダー[[#This Row],[暦年]]-1,W_カレンダー[[#This Row],[暦年]])</f>
        <v>2024</v>
      </c>
      <c r="E712" s="1" t="str">
        <f>IF(W_カレンダー[[#This Row],[月]]&lt;=3,"Q4",IF(W_カレンダー[[#This Row],[月]]&lt;=6,"Q1",IF(W_カレンダー[[#This Row],[月]]&lt;=9,"Q2","Q3")))</f>
        <v>Q4</v>
      </c>
    </row>
    <row r="713" spans="1:5" ht="18" customHeight="1" x14ac:dyDescent="0.25">
      <c r="A713" s="27">
        <v>45728</v>
      </c>
      <c r="B713" s="29">
        <f>MONTH(W_カレンダー[[#This Row],[日付]])</f>
        <v>3</v>
      </c>
      <c r="C713" s="1">
        <f>YEAR(W_カレンダー[[#This Row],[日付]])</f>
        <v>2025</v>
      </c>
      <c r="D713" s="1">
        <f>IF(W_カレンダー[[#This Row],[月]]&lt;=3,W_カレンダー[[#This Row],[暦年]]-1,W_カレンダー[[#This Row],[暦年]])</f>
        <v>2024</v>
      </c>
      <c r="E713" s="1" t="str">
        <f>IF(W_カレンダー[[#This Row],[月]]&lt;=3,"Q4",IF(W_カレンダー[[#This Row],[月]]&lt;=6,"Q1",IF(W_カレンダー[[#This Row],[月]]&lt;=9,"Q2","Q3")))</f>
        <v>Q4</v>
      </c>
    </row>
    <row r="714" spans="1:5" ht="18" customHeight="1" x14ac:dyDescent="0.25">
      <c r="A714" s="27">
        <v>45729</v>
      </c>
      <c r="B714" s="29">
        <f>MONTH(W_カレンダー[[#This Row],[日付]])</f>
        <v>3</v>
      </c>
      <c r="C714" s="1">
        <f>YEAR(W_カレンダー[[#This Row],[日付]])</f>
        <v>2025</v>
      </c>
      <c r="D714" s="1">
        <f>IF(W_カレンダー[[#This Row],[月]]&lt;=3,W_カレンダー[[#This Row],[暦年]]-1,W_カレンダー[[#This Row],[暦年]])</f>
        <v>2024</v>
      </c>
      <c r="E714" s="1" t="str">
        <f>IF(W_カレンダー[[#This Row],[月]]&lt;=3,"Q4",IF(W_カレンダー[[#This Row],[月]]&lt;=6,"Q1",IF(W_カレンダー[[#This Row],[月]]&lt;=9,"Q2","Q3")))</f>
        <v>Q4</v>
      </c>
    </row>
    <row r="715" spans="1:5" ht="18" customHeight="1" x14ac:dyDescent="0.25">
      <c r="A715" s="27">
        <v>45730</v>
      </c>
      <c r="B715" s="29">
        <f>MONTH(W_カレンダー[[#This Row],[日付]])</f>
        <v>3</v>
      </c>
      <c r="C715" s="1">
        <f>YEAR(W_カレンダー[[#This Row],[日付]])</f>
        <v>2025</v>
      </c>
      <c r="D715" s="1">
        <f>IF(W_カレンダー[[#This Row],[月]]&lt;=3,W_カレンダー[[#This Row],[暦年]]-1,W_カレンダー[[#This Row],[暦年]])</f>
        <v>2024</v>
      </c>
      <c r="E715" s="1" t="str">
        <f>IF(W_カレンダー[[#This Row],[月]]&lt;=3,"Q4",IF(W_カレンダー[[#This Row],[月]]&lt;=6,"Q1",IF(W_カレンダー[[#This Row],[月]]&lt;=9,"Q2","Q3")))</f>
        <v>Q4</v>
      </c>
    </row>
    <row r="716" spans="1:5" ht="18" customHeight="1" x14ac:dyDescent="0.25">
      <c r="A716" s="27">
        <v>45731</v>
      </c>
      <c r="B716" s="29">
        <f>MONTH(W_カレンダー[[#This Row],[日付]])</f>
        <v>3</v>
      </c>
      <c r="C716" s="1">
        <f>YEAR(W_カレンダー[[#This Row],[日付]])</f>
        <v>2025</v>
      </c>
      <c r="D716" s="1">
        <f>IF(W_カレンダー[[#This Row],[月]]&lt;=3,W_カレンダー[[#This Row],[暦年]]-1,W_カレンダー[[#This Row],[暦年]])</f>
        <v>2024</v>
      </c>
      <c r="E716" s="1" t="str">
        <f>IF(W_カレンダー[[#This Row],[月]]&lt;=3,"Q4",IF(W_カレンダー[[#This Row],[月]]&lt;=6,"Q1",IF(W_カレンダー[[#This Row],[月]]&lt;=9,"Q2","Q3")))</f>
        <v>Q4</v>
      </c>
    </row>
    <row r="717" spans="1:5" ht="18" customHeight="1" x14ac:dyDescent="0.25">
      <c r="A717" s="27">
        <v>45732</v>
      </c>
      <c r="B717" s="29">
        <f>MONTH(W_カレンダー[[#This Row],[日付]])</f>
        <v>3</v>
      </c>
      <c r="C717" s="1">
        <f>YEAR(W_カレンダー[[#This Row],[日付]])</f>
        <v>2025</v>
      </c>
      <c r="D717" s="1">
        <f>IF(W_カレンダー[[#This Row],[月]]&lt;=3,W_カレンダー[[#This Row],[暦年]]-1,W_カレンダー[[#This Row],[暦年]])</f>
        <v>2024</v>
      </c>
      <c r="E717" s="1" t="str">
        <f>IF(W_カレンダー[[#This Row],[月]]&lt;=3,"Q4",IF(W_カレンダー[[#This Row],[月]]&lt;=6,"Q1",IF(W_カレンダー[[#This Row],[月]]&lt;=9,"Q2","Q3")))</f>
        <v>Q4</v>
      </c>
    </row>
    <row r="718" spans="1:5" ht="18" customHeight="1" x14ac:dyDescent="0.25">
      <c r="A718" s="27">
        <v>45733</v>
      </c>
      <c r="B718" s="29">
        <f>MONTH(W_カレンダー[[#This Row],[日付]])</f>
        <v>3</v>
      </c>
      <c r="C718" s="1">
        <f>YEAR(W_カレンダー[[#This Row],[日付]])</f>
        <v>2025</v>
      </c>
      <c r="D718" s="1">
        <f>IF(W_カレンダー[[#This Row],[月]]&lt;=3,W_カレンダー[[#This Row],[暦年]]-1,W_カレンダー[[#This Row],[暦年]])</f>
        <v>2024</v>
      </c>
      <c r="E718" s="1" t="str">
        <f>IF(W_カレンダー[[#This Row],[月]]&lt;=3,"Q4",IF(W_カレンダー[[#This Row],[月]]&lt;=6,"Q1",IF(W_カレンダー[[#This Row],[月]]&lt;=9,"Q2","Q3")))</f>
        <v>Q4</v>
      </c>
    </row>
    <row r="719" spans="1:5" ht="18" customHeight="1" x14ac:dyDescent="0.25">
      <c r="A719" s="27">
        <v>45734</v>
      </c>
      <c r="B719" s="29">
        <f>MONTH(W_カレンダー[[#This Row],[日付]])</f>
        <v>3</v>
      </c>
      <c r="C719" s="1">
        <f>YEAR(W_カレンダー[[#This Row],[日付]])</f>
        <v>2025</v>
      </c>
      <c r="D719" s="1">
        <f>IF(W_カレンダー[[#This Row],[月]]&lt;=3,W_カレンダー[[#This Row],[暦年]]-1,W_カレンダー[[#This Row],[暦年]])</f>
        <v>2024</v>
      </c>
      <c r="E719" s="1" t="str">
        <f>IF(W_カレンダー[[#This Row],[月]]&lt;=3,"Q4",IF(W_カレンダー[[#This Row],[月]]&lt;=6,"Q1",IF(W_カレンダー[[#This Row],[月]]&lt;=9,"Q2","Q3")))</f>
        <v>Q4</v>
      </c>
    </row>
    <row r="720" spans="1:5" ht="18" customHeight="1" x14ac:dyDescent="0.25">
      <c r="A720" s="27">
        <v>45735</v>
      </c>
      <c r="B720" s="29">
        <f>MONTH(W_カレンダー[[#This Row],[日付]])</f>
        <v>3</v>
      </c>
      <c r="C720" s="1">
        <f>YEAR(W_カレンダー[[#This Row],[日付]])</f>
        <v>2025</v>
      </c>
      <c r="D720" s="1">
        <f>IF(W_カレンダー[[#This Row],[月]]&lt;=3,W_カレンダー[[#This Row],[暦年]]-1,W_カレンダー[[#This Row],[暦年]])</f>
        <v>2024</v>
      </c>
      <c r="E720" s="1" t="str">
        <f>IF(W_カレンダー[[#This Row],[月]]&lt;=3,"Q4",IF(W_カレンダー[[#This Row],[月]]&lt;=6,"Q1",IF(W_カレンダー[[#This Row],[月]]&lt;=9,"Q2","Q3")))</f>
        <v>Q4</v>
      </c>
    </row>
    <row r="721" spans="1:5" ht="18" customHeight="1" x14ac:dyDescent="0.25">
      <c r="A721" s="27">
        <v>45736</v>
      </c>
      <c r="B721" s="29">
        <f>MONTH(W_カレンダー[[#This Row],[日付]])</f>
        <v>3</v>
      </c>
      <c r="C721" s="1">
        <f>YEAR(W_カレンダー[[#This Row],[日付]])</f>
        <v>2025</v>
      </c>
      <c r="D721" s="1">
        <f>IF(W_カレンダー[[#This Row],[月]]&lt;=3,W_カレンダー[[#This Row],[暦年]]-1,W_カレンダー[[#This Row],[暦年]])</f>
        <v>2024</v>
      </c>
      <c r="E721" s="1" t="str">
        <f>IF(W_カレンダー[[#This Row],[月]]&lt;=3,"Q4",IF(W_カレンダー[[#This Row],[月]]&lt;=6,"Q1",IF(W_カレンダー[[#This Row],[月]]&lt;=9,"Q2","Q3")))</f>
        <v>Q4</v>
      </c>
    </row>
    <row r="722" spans="1:5" ht="18" customHeight="1" x14ac:dyDescent="0.25">
      <c r="A722" s="27">
        <v>45737</v>
      </c>
      <c r="B722" s="29">
        <f>MONTH(W_カレンダー[[#This Row],[日付]])</f>
        <v>3</v>
      </c>
      <c r="C722" s="1">
        <f>YEAR(W_カレンダー[[#This Row],[日付]])</f>
        <v>2025</v>
      </c>
      <c r="D722" s="1">
        <f>IF(W_カレンダー[[#This Row],[月]]&lt;=3,W_カレンダー[[#This Row],[暦年]]-1,W_カレンダー[[#This Row],[暦年]])</f>
        <v>2024</v>
      </c>
      <c r="E722" s="1" t="str">
        <f>IF(W_カレンダー[[#This Row],[月]]&lt;=3,"Q4",IF(W_カレンダー[[#This Row],[月]]&lt;=6,"Q1",IF(W_カレンダー[[#This Row],[月]]&lt;=9,"Q2","Q3")))</f>
        <v>Q4</v>
      </c>
    </row>
    <row r="723" spans="1:5" ht="18" customHeight="1" x14ac:dyDescent="0.25">
      <c r="A723" s="27">
        <v>45738</v>
      </c>
      <c r="B723" s="29">
        <f>MONTH(W_カレンダー[[#This Row],[日付]])</f>
        <v>3</v>
      </c>
      <c r="C723" s="1">
        <f>YEAR(W_カレンダー[[#This Row],[日付]])</f>
        <v>2025</v>
      </c>
      <c r="D723" s="1">
        <f>IF(W_カレンダー[[#This Row],[月]]&lt;=3,W_カレンダー[[#This Row],[暦年]]-1,W_カレンダー[[#This Row],[暦年]])</f>
        <v>2024</v>
      </c>
      <c r="E723" s="1" t="str">
        <f>IF(W_カレンダー[[#This Row],[月]]&lt;=3,"Q4",IF(W_カレンダー[[#This Row],[月]]&lt;=6,"Q1",IF(W_カレンダー[[#This Row],[月]]&lt;=9,"Q2","Q3")))</f>
        <v>Q4</v>
      </c>
    </row>
    <row r="724" spans="1:5" ht="18" customHeight="1" x14ac:dyDescent="0.25">
      <c r="A724" s="27">
        <v>45739</v>
      </c>
      <c r="B724" s="29">
        <f>MONTH(W_カレンダー[[#This Row],[日付]])</f>
        <v>3</v>
      </c>
      <c r="C724" s="1">
        <f>YEAR(W_カレンダー[[#This Row],[日付]])</f>
        <v>2025</v>
      </c>
      <c r="D724" s="1">
        <f>IF(W_カレンダー[[#This Row],[月]]&lt;=3,W_カレンダー[[#This Row],[暦年]]-1,W_カレンダー[[#This Row],[暦年]])</f>
        <v>2024</v>
      </c>
      <c r="E724" s="1" t="str">
        <f>IF(W_カレンダー[[#This Row],[月]]&lt;=3,"Q4",IF(W_カレンダー[[#This Row],[月]]&lt;=6,"Q1",IF(W_カレンダー[[#This Row],[月]]&lt;=9,"Q2","Q3")))</f>
        <v>Q4</v>
      </c>
    </row>
    <row r="725" spans="1:5" ht="18" customHeight="1" x14ac:dyDescent="0.25">
      <c r="A725" s="27">
        <v>45740</v>
      </c>
      <c r="B725" s="29">
        <f>MONTH(W_カレンダー[[#This Row],[日付]])</f>
        <v>3</v>
      </c>
      <c r="C725" s="1">
        <f>YEAR(W_カレンダー[[#This Row],[日付]])</f>
        <v>2025</v>
      </c>
      <c r="D725" s="1">
        <f>IF(W_カレンダー[[#This Row],[月]]&lt;=3,W_カレンダー[[#This Row],[暦年]]-1,W_カレンダー[[#This Row],[暦年]])</f>
        <v>2024</v>
      </c>
      <c r="E725" s="1" t="str">
        <f>IF(W_カレンダー[[#This Row],[月]]&lt;=3,"Q4",IF(W_カレンダー[[#This Row],[月]]&lt;=6,"Q1",IF(W_カレンダー[[#This Row],[月]]&lt;=9,"Q2","Q3")))</f>
        <v>Q4</v>
      </c>
    </row>
    <row r="726" spans="1:5" ht="18" customHeight="1" x14ac:dyDescent="0.25">
      <c r="A726" s="27">
        <v>45741</v>
      </c>
      <c r="B726" s="29">
        <f>MONTH(W_カレンダー[[#This Row],[日付]])</f>
        <v>3</v>
      </c>
      <c r="C726" s="1">
        <f>YEAR(W_カレンダー[[#This Row],[日付]])</f>
        <v>2025</v>
      </c>
      <c r="D726" s="1">
        <f>IF(W_カレンダー[[#This Row],[月]]&lt;=3,W_カレンダー[[#This Row],[暦年]]-1,W_カレンダー[[#This Row],[暦年]])</f>
        <v>2024</v>
      </c>
      <c r="E726" s="1" t="str">
        <f>IF(W_カレンダー[[#This Row],[月]]&lt;=3,"Q4",IF(W_カレンダー[[#This Row],[月]]&lt;=6,"Q1",IF(W_カレンダー[[#This Row],[月]]&lt;=9,"Q2","Q3")))</f>
        <v>Q4</v>
      </c>
    </row>
    <row r="727" spans="1:5" ht="18" customHeight="1" x14ac:dyDescent="0.25">
      <c r="A727" s="27">
        <v>45742</v>
      </c>
      <c r="B727" s="29">
        <f>MONTH(W_カレンダー[[#This Row],[日付]])</f>
        <v>3</v>
      </c>
      <c r="C727" s="1">
        <f>YEAR(W_カレンダー[[#This Row],[日付]])</f>
        <v>2025</v>
      </c>
      <c r="D727" s="1">
        <f>IF(W_カレンダー[[#This Row],[月]]&lt;=3,W_カレンダー[[#This Row],[暦年]]-1,W_カレンダー[[#This Row],[暦年]])</f>
        <v>2024</v>
      </c>
      <c r="E727" s="1" t="str">
        <f>IF(W_カレンダー[[#This Row],[月]]&lt;=3,"Q4",IF(W_カレンダー[[#This Row],[月]]&lt;=6,"Q1",IF(W_カレンダー[[#This Row],[月]]&lt;=9,"Q2","Q3")))</f>
        <v>Q4</v>
      </c>
    </row>
    <row r="728" spans="1:5" ht="18" customHeight="1" x14ac:dyDescent="0.25">
      <c r="A728" s="27">
        <v>45743</v>
      </c>
      <c r="B728" s="29">
        <f>MONTH(W_カレンダー[[#This Row],[日付]])</f>
        <v>3</v>
      </c>
      <c r="C728" s="1">
        <f>YEAR(W_カレンダー[[#This Row],[日付]])</f>
        <v>2025</v>
      </c>
      <c r="D728" s="1">
        <f>IF(W_カレンダー[[#This Row],[月]]&lt;=3,W_カレンダー[[#This Row],[暦年]]-1,W_カレンダー[[#This Row],[暦年]])</f>
        <v>2024</v>
      </c>
      <c r="E728" s="1" t="str">
        <f>IF(W_カレンダー[[#This Row],[月]]&lt;=3,"Q4",IF(W_カレンダー[[#This Row],[月]]&lt;=6,"Q1",IF(W_カレンダー[[#This Row],[月]]&lt;=9,"Q2","Q3")))</f>
        <v>Q4</v>
      </c>
    </row>
    <row r="729" spans="1:5" ht="18" customHeight="1" x14ac:dyDescent="0.25">
      <c r="A729" s="27">
        <v>45744</v>
      </c>
      <c r="B729" s="29">
        <f>MONTH(W_カレンダー[[#This Row],[日付]])</f>
        <v>3</v>
      </c>
      <c r="C729" s="1">
        <f>YEAR(W_カレンダー[[#This Row],[日付]])</f>
        <v>2025</v>
      </c>
      <c r="D729" s="1">
        <f>IF(W_カレンダー[[#This Row],[月]]&lt;=3,W_カレンダー[[#This Row],[暦年]]-1,W_カレンダー[[#This Row],[暦年]])</f>
        <v>2024</v>
      </c>
      <c r="E729" s="1" t="str">
        <f>IF(W_カレンダー[[#This Row],[月]]&lt;=3,"Q4",IF(W_カレンダー[[#This Row],[月]]&lt;=6,"Q1",IF(W_カレンダー[[#This Row],[月]]&lt;=9,"Q2","Q3")))</f>
        <v>Q4</v>
      </c>
    </row>
    <row r="730" spans="1:5" ht="18" customHeight="1" x14ac:dyDescent="0.25">
      <c r="A730" s="27">
        <v>45745</v>
      </c>
      <c r="B730" s="29">
        <f>MONTH(W_カレンダー[[#This Row],[日付]])</f>
        <v>3</v>
      </c>
      <c r="C730" s="1">
        <f>YEAR(W_カレンダー[[#This Row],[日付]])</f>
        <v>2025</v>
      </c>
      <c r="D730" s="1">
        <f>IF(W_カレンダー[[#This Row],[月]]&lt;=3,W_カレンダー[[#This Row],[暦年]]-1,W_カレンダー[[#This Row],[暦年]])</f>
        <v>2024</v>
      </c>
      <c r="E730" s="1" t="str">
        <f>IF(W_カレンダー[[#This Row],[月]]&lt;=3,"Q4",IF(W_カレンダー[[#This Row],[月]]&lt;=6,"Q1",IF(W_カレンダー[[#This Row],[月]]&lt;=9,"Q2","Q3")))</f>
        <v>Q4</v>
      </c>
    </row>
    <row r="731" spans="1:5" ht="18" customHeight="1" x14ac:dyDescent="0.25">
      <c r="A731" s="27">
        <v>45746</v>
      </c>
      <c r="B731" s="29">
        <f>MONTH(W_カレンダー[[#This Row],[日付]])</f>
        <v>3</v>
      </c>
      <c r="C731" s="1">
        <f>YEAR(W_カレンダー[[#This Row],[日付]])</f>
        <v>2025</v>
      </c>
      <c r="D731" s="1">
        <f>IF(W_カレンダー[[#This Row],[月]]&lt;=3,W_カレンダー[[#This Row],[暦年]]-1,W_カレンダー[[#This Row],[暦年]])</f>
        <v>2024</v>
      </c>
      <c r="E731" s="1" t="str">
        <f>IF(W_カレンダー[[#This Row],[月]]&lt;=3,"Q4",IF(W_カレンダー[[#This Row],[月]]&lt;=6,"Q1",IF(W_カレンダー[[#This Row],[月]]&lt;=9,"Q2","Q3")))</f>
        <v>Q4</v>
      </c>
    </row>
    <row r="732" spans="1:5" ht="18" customHeight="1" x14ac:dyDescent="0.25">
      <c r="A732" s="27">
        <v>45747</v>
      </c>
      <c r="B732" s="29">
        <f>MONTH(W_カレンダー[[#This Row],[日付]])</f>
        <v>3</v>
      </c>
      <c r="C732" s="1">
        <f>YEAR(W_カレンダー[[#This Row],[日付]])</f>
        <v>2025</v>
      </c>
      <c r="D732" s="1">
        <f>IF(W_カレンダー[[#This Row],[月]]&lt;=3,W_カレンダー[[#This Row],[暦年]]-1,W_カレンダー[[#This Row],[暦年]])</f>
        <v>2024</v>
      </c>
      <c r="E732" s="1" t="str">
        <f>IF(W_カレンダー[[#This Row],[月]]&lt;=3,"Q4",IF(W_カレンダー[[#This Row],[月]]&lt;=6,"Q1",IF(W_カレンダー[[#This Row],[月]]&lt;=9,"Q2","Q3")))</f>
        <v>Q4</v>
      </c>
    </row>
    <row r="733" spans="1:5" ht="18" customHeight="1" x14ac:dyDescent="0.25">
      <c r="A733" s="27">
        <v>45748</v>
      </c>
      <c r="B733" s="29">
        <f>MONTH(W_カレンダー[[#This Row],[日付]])</f>
        <v>4</v>
      </c>
      <c r="C733" s="1">
        <f>YEAR(W_カレンダー[[#This Row],[日付]])</f>
        <v>2025</v>
      </c>
      <c r="D733" s="1">
        <f>IF(W_カレンダー[[#This Row],[月]]&lt;=3,W_カレンダー[[#This Row],[暦年]]-1,W_カレンダー[[#This Row],[暦年]])</f>
        <v>2025</v>
      </c>
      <c r="E733" s="1" t="str">
        <f>IF(W_カレンダー[[#This Row],[月]]&lt;=3,"Q4",IF(W_カレンダー[[#This Row],[月]]&lt;=6,"Q1",IF(W_カレンダー[[#This Row],[月]]&lt;=9,"Q2","Q3")))</f>
        <v>Q1</v>
      </c>
    </row>
    <row r="734" spans="1:5" ht="18" customHeight="1" x14ac:dyDescent="0.25">
      <c r="A734" s="27">
        <v>45749</v>
      </c>
      <c r="B734" s="29">
        <f>MONTH(W_カレンダー[[#This Row],[日付]])</f>
        <v>4</v>
      </c>
      <c r="C734" s="1">
        <f>YEAR(W_カレンダー[[#This Row],[日付]])</f>
        <v>2025</v>
      </c>
      <c r="D734" s="1">
        <f>IF(W_カレンダー[[#This Row],[月]]&lt;=3,W_カレンダー[[#This Row],[暦年]]-1,W_カレンダー[[#This Row],[暦年]])</f>
        <v>2025</v>
      </c>
      <c r="E734" s="1" t="str">
        <f>IF(W_カレンダー[[#This Row],[月]]&lt;=3,"Q4",IF(W_カレンダー[[#This Row],[月]]&lt;=6,"Q1",IF(W_カレンダー[[#This Row],[月]]&lt;=9,"Q2","Q3")))</f>
        <v>Q1</v>
      </c>
    </row>
    <row r="735" spans="1:5" ht="18" customHeight="1" x14ac:dyDescent="0.25">
      <c r="A735" s="27">
        <v>45750</v>
      </c>
      <c r="B735" s="29">
        <f>MONTH(W_カレンダー[[#This Row],[日付]])</f>
        <v>4</v>
      </c>
      <c r="C735" s="1">
        <f>YEAR(W_カレンダー[[#This Row],[日付]])</f>
        <v>2025</v>
      </c>
      <c r="D735" s="1">
        <f>IF(W_カレンダー[[#This Row],[月]]&lt;=3,W_カレンダー[[#This Row],[暦年]]-1,W_カレンダー[[#This Row],[暦年]])</f>
        <v>2025</v>
      </c>
      <c r="E735" s="1" t="str">
        <f>IF(W_カレンダー[[#This Row],[月]]&lt;=3,"Q4",IF(W_カレンダー[[#This Row],[月]]&lt;=6,"Q1",IF(W_カレンダー[[#This Row],[月]]&lt;=9,"Q2","Q3")))</f>
        <v>Q1</v>
      </c>
    </row>
    <row r="736" spans="1:5" ht="18" customHeight="1" x14ac:dyDescent="0.25">
      <c r="A736" s="27">
        <v>45751</v>
      </c>
      <c r="B736" s="29">
        <f>MONTH(W_カレンダー[[#This Row],[日付]])</f>
        <v>4</v>
      </c>
      <c r="C736" s="1">
        <f>YEAR(W_カレンダー[[#This Row],[日付]])</f>
        <v>2025</v>
      </c>
      <c r="D736" s="1">
        <f>IF(W_カレンダー[[#This Row],[月]]&lt;=3,W_カレンダー[[#This Row],[暦年]]-1,W_カレンダー[[#This Row],[暦年]])</f>
        <v>2025</v>
      </c>
      <c r="E736" s="1" t="str">
        <f>IF(W_カレンダー[[#This Row],[月]]&lt;=3,"Q4",IF(W_カレンダー[[#This Row],[月]]&lt;=6,"Q1",IF(W_カレンダー[[#This Row],[月]]&lt;=9,"Q2","Q3")))</f>
        <v>Q1</v>
      </c>
    </row>
    <row r="737" spans="1:5" ht="18" customHeight="1" x14ac:dyDescent="0.25">
      <c r="A737" s="27">
        <v>45752</v>
      </c>
      <c r="B737" s="29">
        <f>MONTH(W_カレンダー[[#This Row],[日付]])</f>
        <v>4</v>
      </c>
      <c r="C737" s="1">
        <f>YEAR(W_カレンダー[[#This Row],[日付]])</f>
        <v>2025</v>
      </c>
      <c r="D737" s="1">
        <f>IF(W_カレンダー[[#This Row],[月]]&lt;=3,W_カレンダー[[#This Row],[暦年]]-1,W_カレンダー[[#This Row],[暦年]])</f>
        <v>2025</v>
      </c>
      <c r="E737" s="1" t="str">
        <f>IF(W_カレンダー[[#This Row],[月]]&lt;=3,"Q4",IF(W_カレンダー[[#This Row],[月]]&lt;=6,"Q1",IF(W_カレンダー[[#This Row],[月]]&lt;=9,"Q2","Q3")))</f>
        <v>Q1</v>
      </c>
    </row>
    <row r="738" spans="1:5" ht="18" customHeight="1" x14ac:dyDescent="0.25">
      <c r="A738" s="27">
        <v>45753</v>
      </c>
      <c r="B738" s="29">
        <f>MONTH(W_カレンダー[[#This Row],[日付]])</f>
        <v>4</v>
      </c>
      <c r="C738" s="1">
        <f>YEAR(W_カレンダー[[#This Row],[日付]])</f>
        <v>2025</v>
      </c>
      <c r="D738" s="1">
        <f>IF(W_カレンダー[[#This Row],[月]]&lt;=3,W_カレンダー[[#This Row],[暦年]]-1,W_カレンダー[[#This Row],[暦年]])</f>
        <v>2025</v>
      </c>
      <c r="E738" s="1" t="str">
        <f>IF(W_カレンダー[[#This Row],[月]]&lt;=3,"Q4",IF(W_カレンダー[[#This Row],[月]]&lt;=6,"Q1",IF(W_カレンダー[[#This Row],[月]]&lt;=9,"Q2","Q3")))</f>
        <v>Q1</v>
      </c>
    </row>
    <row r="739" spans="1:5" ht="18" customHeight="1" x14ac:dyDescent="0.25">
      <c r="A739" s="27">
        <v>45754</v>
      </c>
      <c r="B739" s="29">
        <f>MONTH(W_カレンダー[[#This Row],[日付]])</f>
        <v>4</v>
      </c>
      <c r="C739" s="1">
        <f>YEAR(W_カレンダー[[#This Row],[日付]])</f>
        <v>2025</v>
      </c>
      <c r="D739" s="1">
        <f>IF(W_カレンダー[[#This Row],[月]]&lt;=3,W_カレンダー[[#This Row],[暦年]]-1,W_カレンダー[[#This Row],[暦年]])</f>
        <v>2025</v>
      </c>
      <c r="E739" s="1" t="str">
        <f>IF(W_カレンダー[[#This Row],[月]]&lt;=3,"Q4",IF(W_カレンダー[[#This Row],[月]]&lt;=6,"Q1",IF(W_カレンダー[[#This Row],[月]]&lt;=9,"Q2","Q3")))</f>
        <v>Q1</v>
      </c>
    </row>
    <row r="740" spans="1:5" ht="18" customHeight="1" x14ac:dyDescent="0.25">
      <c r="A740" s="27">
        <v>45755</v>
      </c>
      <c r="B740" s="29">
        <f>MONTH(W_カレンダー[[#This Row],[日付]])</f>
        <v>4</v>
      </c>
      <c r="C740" s="1">
        <f>YEAR(W_カレンダー[[#This Row],[日付]])</f>
        <v>2025</v>
      </c>
      <c r="D740" s="1">
        <f>IF(W_カレンダー[[#This Row],[月]]&lt;=3,W_カレンダー[[#This Row],[暦年]]-1,W_カレンダー[[#This Row],[暦年]])</f>
        <v>2025</v>
      </c>
      <c r="E740" s="1" t="str">
        <f>IF(W_カレンダー[[#This Row],[月]]&lt;=3,"Q4",IF(W_カレンダー[[#This Row],[月]]&lt;=6,"Q1",IF(W_カレンダー[[#This Row],[月]]&lt;=9,"Q2","Q3")))</f>
        <v>Q1</v>
      </c>
    </row>
    <row r="741" spans="1:5" ht="18" customHeight="1" x14ac:dyDescent="0.25">
      <c r="A741" s="27">
        <v>45756</v>
      </c>
      <c r="B741" s="29">
        <f>MONTH(W_カレンダー[[#This Row],[日付]])</f>
        <v>4</v>
      </c>
      <c r="C741" s="1">
        <f>YEAR(W_カレンダー[[#This Row],[日付]])</f>
        <v>2025</v>
      </c>
      <c r="D741" s="1">
        <f>IF(W_カレンダー[[#This Row],[月]]&lt;=3,W_カレンダー[[#This Row],[暦年]]-1,W_カレンダー[[#This Row],[暦年]])</f>
        <v>2025</v>
      </c>
      <c r="E741" s="1" t="str">
        <f>IF(W_カレンダー[[#This Row],[月]]&lt;=3,"Q4",IF(W_カレンダー[[#This Row],[月]]&lt;=6,"Q1",IF(W_カレンダー[[#This Row],[月]]&lt;=9,"Q2","Q3")))</f>
        <v>Q1</v>
      </c>
    </row>
    <row r="742" spans="1:5" ht="18" customHeight="1" x14ac:dyDescent="0.25">
      <c r="A742" s="27">
        <v>45757</v>
      </c>
      <c r="B742" s="29">
        <f>MONTH(W_カレンダー[[#This Row],[日付]])</f>
        <v>4</v>
      </c>
      <c r="C742" s="1">
        <f>YEAR(W_カレンダー[[#This Row],[日付]])</f>
        <v>2025</v>
      </c>
      <c r="D742" s="1">
        <f>IF(W_カレンダー[[#This Row],[月]]&lt;=3,W_カレンダー[[#This Row],[暦年]]-1,W_カレンダー[[#This Row],[暦年]])</f>
        <v>2025</v>
      </c>
      <c r="E742" s="1" t="str">
        <f>IF(W_カレンダー[[#This Row],[月]]&lt;=3,"Q4",IF(W_カレンダー[[#This Row],[月]]&lt;=6,"Q1",IF(W_カレンダー[[#This Row],[月]]&lt;=9,"Q2","Q3")))</f>
        <v>Q1</v>
      </c>
    </row>
    <row r="743" spans="1:5" ht="18" customHeight="1" x14ac:dyDescent="0.25">
      <c r="A743" s="27">
        <v>45758</v>
      </c>
      <c r="B743" s="29">
        <f>MONTH(W_カレンダー[[#This Row],[日付]])</f>
        <v>4</v>
      </c>
      <c r="C743" s="1">
        <f>YEAR(W_カレンダー[[#This Row],[日付]])</f>
        <v>2025</v>
      </c>
      <c r="D743" s="1">
        <f>IF(W_カレンダー[[#This Row],[月]]&lt;=3,W_カレンダー[[#This Row],[暦年]]-1,W_カレンダー[[#This Row],[暦年]])</f>
        <v>2025</v>
      </c>
      <c r="E743" s="1" t="str">
        <f>IF(W_カレンダー[[#This Row],[月]]&lt;=3,"Q4",IF(W_カレンダー[[#This Row],[月]]&lt;=6,"Q1",IF(W_カレンダー[[#This Row],[月]]&lt;=9,"Q2","Q3")))</f>
        <v>Q1</v>
      </c>
    </row>
    <row r="744" spans="1:5" ht="18" customHeight="1" x14ac:dyDescent="0.25">
      <c r="A744" s="27">
        <v>45759</v>
      </c>
      <c r="B744" s="29">
        <f>MONTH(W_カレンダー[[#This Row],[日付]])</f>
        <v>4</v>
      </c>
      <c r="C744" s="1">
        <f>YEAR(W_カレンダー[[#This Row],[日付]])</f>
        <v>2025</v>
      </c>
      <c r="D744" s="1">
        <f>IF(W_カレンダー[[#This Row],[月]]&lt;=3,W_カレンダー[[#This Row],[暦年]]-1,W_カレンダー[[#This Row],[暦年]])</f>
        <v>2025</v>
      </c>
      <c r="E744" s="1" t="str">
        <f>IF(W_カレンダー[[#This Row],[月]]&lt;=3,"Q4",IF(W_カレンダー[[#This Row],[月]]&lt;=6,"Q1",IF(W_カレンダー[[#This Row],[月]]&lt;=9,"Q2","Q3")))</f>
        <v>Q1</v>
      </c>
    </row>
    <row r="745" spans="1:5" ht="18" customHeight="1" x14ac:dyDescent="0.25">
      <c r="A745" s="27">
        <v>45760</v>
      </c>
      <c r="B745" s="29">
        <f>MONTH(W_カレンダー[[#This Row],[日付]])</f>
        <v>4</v>
      </c>
      <c r="C745" s="1">
        <f>YEAR(W_カレンダー[[#This Row],[日付]])</f>
        <v>2025</v>
      </c>
      <c r="D745" s="1">
        <f>IF(W_カレンダー[[#This Row],[月]]&lt;=3,W_カレンダー[[#This Row],[暦年]]-1,W_カレンダー[[#This Row],[暦年]])</f>
        <v>2025</v>
      </c>
      <c r="E745" s="1" t="str">
        <f>IF(W_カレンダー[[#This Row],[月]]&lt;=3,"Q4",IF(W_カレンダー[[#This Row],[月]]&lt;=6,"Q1",IF(W_カレンダー[[#This Row],[月]]&lt;=9,"Q2","Q3")))</f>
        <v>Q1</v>
      </c>
    </row>
    <row r="746" spans="1:5" ht="18" customHeight="1" x14ac:dyDescent="0.25">
      <c r="A746" s="27">
        <v>45761</v>
      </c>
      <c r="B746" s="29">
        <f>MONTH(W_カレンダー[[#This Row],[日付]])</f>
        <v>4</v>
      </c>
      <c r="C746" s="1">
        <f>YEAR(W_カレンダー[[#This Row],[日付]])</f>
        <v>2025</v>
      </c>
      <c r="D746" s="1">
        <f>IF(W_カレンダー[[#This Row],[月]]&lt;=3,W_カレンダー[[#This Row],[暦年]]-1,W_カレンダー[[#This Row],[暦年]])</f>
        <v>2025</v>
      </c>
      <c r="E746" s="1" t="str">
        <f>IF(W_カレンダー[[#This Row],[月]]&lt;=3,"Q4",IF(W_カレンダー[[#This Row],[月]]&lt;=6,"Q1",IF(W_カレンダー[[#This Row],[月]]&lt;=9,"Q2","Q3")))</f>
        <v>Q1</v>
      </c>
    </row>
    <row r="747" spans="1:5" ht="18" customHeight="1" x14ac:dyDescent="0.25">
      <c r="A747" s="27">
        <v>45762</v>
      </c>
      <c r="B747" s="29">
        <f>MONTH(W_カレンダー[[#This Row],[日付]])</f>
        <v>4</v>
      </c>
      <c r="C747" s="1">
        <f>YEAR(W_カレンダー[[#This Row],[日付]])</f>
        <v>2025</v>
      </c>
      <c r="D747" s="1">
        <f>IF(W_カレンダー[[#This Row],[月]]&lt;=3,W_カレンダー[[#This Row],[暦年]]-1,W_カレンダー[[#This Row],[暦年]])</f>
        <v>2025</v>
      </c>
      <c r="E747" s="1" t="str">
        <f>IF(W_カレンダー[[#This Row],[月]]&lt;=3,"Q4",IF(W_カレンダー[[#This Row],[月]]&lt;=6,"Q1",IF(W_カレンダー[[#This Row],[月]]&lt;=9,"Q2","Q3")))</f>
        <v>Q1</v>
      </c>
    </row>
    <row r="748" spans="1:5" ht="18" customHeight="1" x14ac:dyDescent="0.25">
      <c r="A748" s="27">
        <v>45763</v>
      </c>
      <c r="B748" s="29">
        <f>MONTH(W_カレンダー[[#This Row],[日付]])</f>
        <v>4</v>
      </c>
      <c r="C748" s="1">
        <f>YEAR(W_カレンダー[[#This Row],[日付]])</f>
        <v>2025</v>
      </c>
      <c r="D748" s="1">
        <f>IF(W_カレンダー[[#This Row],[月]]&lt;=3,W_カレンダー[[#This Row],[暦年]]-1,W_カレンダー[[#This Row],[暦年]])</f>
        <v>2025</v>
      </c>
      <c r="E748" s="1" t="str">
        <f>IF(W_カレンダー[[#This Row],[月]]&lt;=3,"Q4",IF(W_カレンダー[[#This Row],[月]]&lt;=6,"Q1",IF(W_カレンダー[[#This Row],[月]]&lt;=9,"Q2","Q3")))</f>
        <v>Q1</v>
      </c>
    </row>
    <row r="749" spans="1:5" ht="18" customHeight="1" x14ac:dyDescent="0.25">
      <c r="A749" s="27">
        <v>45764</v>
      </c>
      <c r="B749" s="29">
        <f>MONTH(W_カレンダー[[#This Row],[日付]])</f>
        <v>4</v>
      </c>
      <c r="C749" s="1">
        <f>YEAR(W_カレンダー[[#This Row],[日付]])</f>
        <v>2025</v>
      </c>
      <c r="D749" s="1">
        <f>IF(W_カレンダー[[#This Row],[月]]&lt;=3,W_カレンダー[[#This Row],[暦年]]-1,W_カレンダー[[#This Row],[暦年]])</f>
        <v>2025</v>
      </c>
      <c r="E749" s="1" t="str">
        <f>IF(W_カレンダー[[#This Row],[月]]&lt;=3,"Q4",IF(W_カレンダー[[#This Row],[月]]&lt;=6,"Q1",IF(W_カレンダー[[#This Row],[月]]&lt;=9,"Q2","Q3")))</f>
        <v>Q1</v>
      </c>
    </row>
    <row r="750" spans="1:5" ht="18" customHeight="1" x14ac:dyDescent="0.25">
      <c r="A750" s="27">
        <v>45765</v>
      </c>
      <c r="B750" s="29">
        <f>MONTH(W_カレンダー[[#This Row],[日付]])</f>
        <v>4</v>
      </c>
      <c r="C750" s="1">
        <f>YEAR(W_カレンダー[[#This Row],[日付]])</f>
        <v>2025</v>
      </c>
      <c r="D750" s="1">
        <f>IF(W_カレンダー[[#This Row],[月]]&lt;=3,W_カレンダー[[#This Row],[暦年]]-1,W_カレンダー[[#This Row],[暦年]])</f>
        <v>2025</v>
      </c>
      <c r="E750" s="1" t="str">
        <f>IF(W_カレンダー[[#This Row],[月]]&lt;=3,"Q4",IF(W_カレンダー[[#This Row],[月]]&lt;=6,"Q1",IF(W_カレンダー[[#This Row],[月]]&lt;=9,"Q2","Q3")))</f>
        <v>Q1</v>
      </c>
    </row>
    <row r="751" spans="1:5" ht="18" customHeight="1" x14ac:dyDescent="0.25">
      <c r="A751" s="27">
        <v>45766</v>
      </c>
      <c r="B751" s="29">
        <f>MONTH(W_カレンダー[[#This Row],[日付]])</f>
        <v>4</v>
      </c>
      <c r="C751" s="1">
        <f>YEAR(W_カレンダー[[#This Row],[日付]])</f>
        <v>2025</v>
      </c>
      <c r="D751" s="1">
        <f>IF(W_カレンダー[[#This Row],[月]]&lt;=3,W_カレンダー[[#This Row],[暦年]]-1,W_カレンダー[[#This Row],[暦年]])</f>
        <v>2025</v>
      </c>
      <c r="E751" s="1" t="str">
        <f>IF(W_カレンダー[[#This Row],[月]]&lt;=3,"Q4",IF(W_カレンダー[[#This Row],[月]]&lt;=6,"Q1",IF(W_カレンダー[[#This Row],[月]]&lt;=9,"Q2","Q3")))</f>
        <v>Q1</v>
      </c>
    </row>
    <row r="752" spans="1:5" ht="18" customHeight="1" x14ac:dyDescent="0.25">
      <c r="A752" s="27">
        <v>45767</v>
      </c>
      <c r="B752" s="29">
        <f>MONTH(W_カレンダー[[#This Row],[日付]])</f>
        <v>4</v>
      </c>
      <c r="C752" s="1">
        <f>YEAR(W_カレンダー[[#This Row],[日付]])</f>
        <v>2025</v>
      </c>
      <c r="D752" s="1">
        <f>IF(W_カレンダー[[#This Row],[月]]&lt;=3,W_カレンダー[[#This Row],[暦年]]-1,W_カレンダー[[#This Row],[暦年]])</f>
        <v>2025</v>
      </c>
      <c r="E752" s="1" t="str">
        <f>IF(W_カレンダー[[#This Row],[月]]&lt;=3,"Q4",IF(W_カレンダー[[#This Row],[月]]&lt;=6,"Q1",IF(W_カレンダー[[#This Row],[月]]&lt;=9,"Q2","Q3")))</f>
        <v>Q1</v>
      </c>
    </row>
    <row r="753" spans="1:5" ht="18" customHeight="1" x14ac:dyDescent="0.25">
      <c r="A753" s="27">
        <v>45768</v>
      </c>
      <c r="B753" s="29">
        <f>MONTH(W_カレンダー[[#This Row],[日付]])</f>
        <v>4</v>
      </c>
      <c r="C753" s="1">
        <f>YEAR(W_カレンダー[[#This Row],[日付]])</f>
        <v>2025</v>
      </c>
      <c r="D753" s="1">
        <f>IF(W_カレンダー[[#This Row],[月]]&lt;=3,W_カレンダー[[#This Row],[暦年]]-1,W_カレンダー[[#This Row],[暦年]])</f>
        <v>2025</v>
      </c>
      <c r="E753" s="1" t="str">
        <f>IF(W_カレンダー[[#This Row],[月]]&lt;=3,"Q4",IF(W_カレンダー[[#This Row],[月]]&lt;=6,"Q1",IF(W_カレンダー[[#This Row],[月]]&lt;=9,"Q2","Q3")))</f>
        <v>Q1</v>
      </c>
    </row>
    <row r="754" spans="1:5" ht="18" customHeight="1" x14ac:dyDescent="0.25">
      <c r="A754" s="27">
        <v>45769</v>
      </c>
      <c r="B754" s="29">
        <f>MONTH(W_カレンダー[[#This Row],[日付]])</f>
        <v>4</v>
      </c>
      <c r="C754" s="1">
        <f>YEAR(W_カレンダー[[#This Row],[日付]])</f>
        <v>2025</v>
      </c>
      <c r="D754" s="1">
        <f>IF(W_カレンダー[[#This Row],[月]]&lt;=3,W_カレンダー[[#This Row],[暦年]]-1,W_カレンダー[[#This Row],[暦年]])</f>
        <v>2025</v>
      </c>
      <c r="E754" s="1" t="str">
        <f>IF(W_カレンダー[[#This Row],[月]]&lt;=3,"Q4",IF(W_カレンダー[[#This Row],[月]]&lt;=6,"Q1",IF(W_カレンダー[[#This Row],[月]]&lt;=9,"Q2","Q3")))</f>
        <v>Q1</v>
      </c>
    </row>
    <row r="755" spans="1:5" ht="18" customHeight="1" x14ac:dyDescent="0.25">
      <c r="A755" s="27">
        <v>45770</v>
      </c>
      <c r="B755" s="29">
        <f>MONTH(W_カレンダー[[#This Row],[日付]])</f>
        <v>4</v>
      </c>
      <c r="C755" s="1">
        <f>YEAR(W_カレンダー[[#This Row],[日付]])</f>
        <v>2025</v>
      </c>
      <c r="D755" s="1">
        <f>IF(W_カレンダー[[#This Row],[月]]&lt;=3,W_カレンダー[[#This Row],[暦年]]-1,W_カレンダー[[#This Row],[暦年]])</f>
        <v>2025</v>
      </c>
      <c r="E755" s="1" t="str">
        <f>IF(W_カレンダー[[#This Row],[月]]&lt;=3,"Q4",IF(W_カレンダー[[#This Row],[月]]&lt;=6,"Q1",IF(W_カレンダー[[#This Row],[月]]&lt;=9,"Q2","Q3")))</f>
        <v>Q1</v>
      </c>
    </row>
    <row r="756" spans="1:5" ht="18" customHeight="1" x14ac:dyDescent="0.25">
      <c r="A756" s="27">
        <v>45771</v>
      </c>
      <c r="B756" s="29">
        <f>MONTH(W_カレンダー[[#This Row],[日付]])</f>
        <v>4</v>
      </c>
      <c r="C756" s="1">
        <f>YEAR(W_カレンダー[[#This Row],[日付]])</f>
        <v>2025</v>
      </c>
      <c r="D756" s="1">
        <f>IF(W_カレンダー[[#This Row],[月]]&lt;=3,W_カレンダー[[#This Row],[暦年]]-1,W_カレンダー[[#This Row],[暦年]])</f>
        <v>2025</v>
      </c>
      <c r="E756" s="1" t="str">
        <f>IF(W_カレンダー[[#This Row],[月]]&lt;=3,"Q4",IF(W_カレンダー[[#This Row],[月]]&lt;=6,"Q1",IF(W_カレンダー[[#This Row],[月]]&lt;=9,"Q2","Q3")))</f>
        <v>Q1</v>
      </c>
    </row>
    <row r="757" spans="1:5" ht="18" customHeight="1" x14ac:dyDescent="0.25">
      <c r="A757" s="27">
        <v>45772</v>
      </c>
      <c r="B757" s="29">
        <f>MONTH(W_カレンダー[[#This Row],[日付]])</f>
        <v>4</v>
      </c>
      <c r="C757" s="1">
        <f>YEAR(W_カレンダー[[#This Row],[日付]])</f>
        <v>2025</v>
      </c>
      <c r="D757" s="1">
        <f>IF(W_カレンダー[[#This Row],[月]]&lt;=3,W_カレンダー[[#This Row],[暦年]]-1,W_カレンダー[[#This Row],[暦年]])</f>
        <v>2025</v>
      </c>
      <c r="E757" s="1" t="str">
        <f>IF(W_カレンダー[[#This Row],[月]]&lt;=3,"Q4",IF(W_カレンダー[[#This Row],[月]]&lt;=6,"Q1",IF(W_カレンダー[[#This Row],[月]]&lt;=9,"Q2","Q3")))</f>
        <v>Q1</v>
      </c>
    </row>
    <row r="758" spans="1:5" ht="18" customHeight="1" x14ac:dyDescent="0.25">
      <c r="A758" s="27">
        <v>45773</v>
      </c>
      <c r="B758" s="29">
        <f>MONTH(W_カレンダー[[#This Row],[日付]])</f>
        <v>4</v>
      </c>
      <c r="C758" s="1">
        <f>YEAR(W_カレンダー[[#This Row],[日付]])</f>
        <v>2025</v>
      </c>
      <c r="D758" s="1">
        <f>IF(W_カレンダー[[#This Row],[月]]&lt;=3,W_カレンダー[[#This Row],[暦年]]-1,W_カレンダー[[#This Row],[暦年]])</f>
        <v>2025</v>
      </c>
      <c r="E758" s="1" t="str">
        <f>IF(W_カレンダー[[#This Row],[月]]&lt;=3,"Q4",IF(W_カレンダー[[#This Row],[月]]&lt;=6,"Q1",IF(W_カレンダー[[#This Row],[月]]&lt;=9,"Q2","Q3")))</f>
        <v>Q1</v>
      </c>
    </row>
    <row r="759" spans="1:5" ht="18" customHeight="1" x14ac:dyDescent="0.25">
      <c r="A759" s="27">
        <v>45774</v>
      </c>
      <c r="B759" s="29">
        <f>MONTH(W_カレンダー[[#This Row],[日付]])</f>
        <v>4</v>
      </c>
      <c r="C759" s="1">
        <f>YEAR(W_カレンダー[[#This Row],[日付]])</f>
        <v>2025</v>
      </c>
      <c r="D759" s="1">
        <f>IF(W_カレンダー[[#This Row],[月]]&lt;=3,W_カレンダー[[#This Row],[暦年]]-1,W_カレンダー[[#This Row],[暦年]])</f>
        <v>2025</v>
      </c>
      <c r="E759" s="1" t="str">
        <f>IF(W_カレンダー[[#This Row],[月]]&lt;=3,"Q4",IF(W_カレンダー[[#This Row],[月]]&lt;=6,"Q1",IF(W_カレンダー[[#This Row],[月]]&lt;=9,"Q2","Q3")))</f>
        <v>Q1</v>
      </c>
    </row>
    <row r="760" spans="1:5" ht="18" customHeight="1" x14ac:dyDescent="0.25">
      <c r="A760" s="27">
        <v>45775</v>
      </c>
      <c r="B760" s="29">
        <f>MONTH(W_カレンダー[[#This Row],[日付]])</f>
        <v>4</v>
      </c>
      <c r="C760" s="1">
        <f>YEAR(W_カレンダー[[#This Row],[日付]])</f>
        <v>2025</v>
      </c>
      <c r="D760" s="1">
        <f>IF(W_カレンダー[[#This Row],[月]]&lt;=3,W_カレンダー[[#This Row],[暦年]]-1,W_カレンダー[[#This Row],[暦年]])</f>
        <v>2025</v>
      </c>
      <c r="E760" s="1" t="str">
        <f>IF(W_カレンダー[[#This Row],[月]]&lt;=3,"Q4",IF(W_カレンダー[[#This Row],[月]]&lt;=6,"Q1",IF(W_カレンダー[[#This Row],[月]]&lt;=9,"Q2","Q3")))</f>
        <v>Q1</v>
      </c>
    </row>
    <row r="761" spans="1:5" ht="18" customHeight="1" x14ac:dyDescent="0.25">
      <c r="A761" s="27">
        <v>45776</v>
      </c>
      <c r="B761" s="29">
        <f>MONTH(W_カレンダー[[#This Row],[日付]])</f>
        <v>4</v>
      </c>
      <c r="C761" s="1">
        <f>YEAR(W_カレンダー[[#This Row],[日付]])</f>
        <v>2025</v>
      </c>
      <c r="D761" s="1">
        <f>IF(W_カレンダー[[#This Row],[月]]&lt;=3,W_カレンダー[[#This Row],[暦年]]-1,W_カレンダー[[#This Row],[暦年]])</f>
        <v>2025</v>
      </c>
      <c r="E761" s="1" t="str">
        <f>IF(W_カレンダー[[#This Row],[月]]&lt;=3,"Q4",IF(W_カレンダー[[#This Row],[月]]&lt;=6,"Q1",IF(W_カレンダー[[#This Row],[月]]&lt;=9,"Q2","Q3")))</f>
        <v>Q1</v>
      </c>
    </row>
    <row r="762" spans="1:5" ht="18" customHeight="1" x14ac:dyDescent="0.25">
      <c r="A762" s="27">
        <v>45777</v>
      </c>
      <c r="B762" s="29">
        <f>MONTH(W_カレンダー[[#This Row],[日付]])</f>
        <v>4</v>
      </c>
      <c r="C762" s="1">
        <f>YEAR(W_カレンダー[[#This Row],[日付]])</f>
        <v>2025</v>
      </c>
      <c r="D762" s="1">
        <f>IF(W_カレンダー[[#This Row],[月]]&lt;=3,W_カレンダー[[#This Row],[暦年]]-1,W_カレンダー[[#This Row],[暦年]])</f>
        <v>2025</v>
      </c>
      <c r="E762" s="1" t="str">
        <f>IF(W_カレンダー[[#This Row],[月]]&lt;=3,"Q4",IF(W_カレンダー[[#This Row],[月]]&lt;=6,"Q1",IF(W_カレンダー[[#This Row],[月]]&lt;=9,"Q2","Q3")))</f>
        <v>Q1</v>
      </c>
    </row>
    <row r="763" spans="1:5" ht="18" customHeight="1" x14ac:dyDescent="0.25">
      <c r="A763" s="27">
        <v>45778</v>
      </c>
      <c r="B763" s="29">
        <f>MONTH(W_カレンダー[[#This Row],[日付]])</f>
        <v>5</v>
      </c>
      <c r="C763" s="1">
        <f>YEAR(W_カレンダー[[#This Row],[日付]])</f>
        <v>2025</v>
      </c>
      <c r="D763" s="1">
        <f>IF(W_カレンダー[[#This Row],[月]]&lt;=3,W_カレンダー[[#This Row],[暦年]]-1,W_カレンダー[[#This Row],[暦年]])</f>
        <v>2025</v>
      </c>
      <c r="E763" s="1" t="str">
        <f>IF(W_カレンダー[[#This Row],[月]]&lt;=3,"Q4",IF(W_カレンダー[[#This Row],[月]]&lt;=6,"Q1",IF(W_カレンダー[[#This Row],[月]]&lt;=9,"Q2","Q3")))</f>
        <v>Q1</v>
      </c>
    </row>
    <row r="764" spans="1:5" ht="18" customHeight="1" x14ac:dyDescent="0.25">
      <c r="A764" s="27">
        <v>45779</v>
      </c>
      <c r="B764" s="29">
        <f>MONTH(W_カレンダー[[#This Row],[日付]])</f>
        <v>5</v>
      </c>
      <c r="C764" s="1">
        <f>YEAR(W_カレンダー[[#This Row],[日付]])</f>
        <v>2025</v>
      </c>
      <c r="D764" s="1">
        <f>IF(W_カレンダー[[#This Row],[月]]&lt;=3,W_カレンダー[[#This Row],[暦年]]-1,W_カレンダー[[#This Row],[暦年]])</f>
        <v>2025</v>
      </c>
      <c r="E764" s="1" t="str">
        <f>IF(W_カレンダー[[#This Row],[月]]&lt;=3,"Q4",IF(W_カレンダー[[#This Row],[月]]&lt;=6,"Q1",IF(W_カレンダー[[#This Row],[月]]&lt;=9,"Q2","Q3")))</f>
        <v>Q1</v>
      </c>
    </row>
    <row r="765" spans="1:5" ht="18" customHeight="1" x14ac:dyDescent="0.25">
      <c r="A765" s="27">
        <v>45780</v>
      </c>
      <c r="B765" s="29">
        <f>MONTH(W_カレンダー[[#This Row],[日付]])</f>
        <v>5</v>
      </c>
      <c r="C765" s="1">
        <f>YEAR(W_カレンダー[[#This Row],[日付]])</f>
        <v>2025</v>
      </c>
      <c r="D765" s="1">
        <f>IF(W_カレンダー[[#This Row],[月]]&lt;=3,W_カレンダー[[#This Row],[暦年]]-1,W_カレンダー[[#This Row],[暦年]])</f>
        <v>2025</v>
      </c>
      <c r="E765" s="1" t="str">
        <f>IF(W_カレンダー[[#This Row],[月]]&lt;=3,"Q4",IF(W_カレンダー[[#This Row],[月]]&lt;=6,"Q1",IF(W_カレンダー[[#This Row],[月]]&lt;=9,"Q2","Q3")))</f>
        <v>Q1</v>
      </c>
    </row>
    <row r="766" spans="1:5" ht="18" customHeight="1" x14ac:dyDescent="0.25">
      <c r="A766" s="27">
        <v>45781</v>
      </c>
      <c r="B766" s="29">
        <f>MONTH(W_カレンダー[[#This Row],[日付]])</f>
        <v>5</v>
      </c>
      <c r="C766" s="1">
        <f>YEAR(W_カレンダー[[#This Row],[日付]])</f>
        <v>2025</v>
      </c>
      <c r="D766" s="1">
        <f>IF(W_カレンダー[[#This Row],[月]]&lt;=3,W_カレンダー[[#This Row],[暦年]]-1,W_カレンダー[[#This Row],[暦年]])</f>
        <v>2025</v>
      </c>
      <c r="E766" s="1" t="str">
        <f>IF(W_カレンダー[[#This Row],[月]]&lt;=3,"Q4",IF(W_カレンダー[[#This Row],[月]]&lt;=6,"Q1",IF(W_カレンダー[[#This Row],[月]]&lt;=9,"Q2","Q3")))</f>
        <v>Q1</v>
      </c>
    </row>
    <row r="767" spans="1:5" ht="18" customHeight="1" x14ac:dyDescent="0.25">
      <c r="A767" s="27">
        <v>45782</v>
      </c>
      <c r="B767" s="29">
        <f>MONTH(W_カレンダー[[#This Row],[日付]])</f>
        <v>5</v>
      </c>
      <c r="C767" s="1">
        <f>YEAR(W_カレンダー[[#This Row],[日付]])</f>
        <v>2025</v>
      </c>
      <c r="D767" s="1">
        <f>IF(W_カレンダー[[#This Row],[月]]&lt;=3,W_カレンダー[[#This Row],[暦年]]-1,W_カレンダー[[#This Row],[暦年]])</f>
        <v>2025</v>
      </c>
      <c r="E767" s="1" t="str">
        <f>IF(W_カレンダー[[#This Row],[月]]&lt;=3,"Q4",IF(W_カレンダー[[#This Row],[月]]&lt;=6,"Q1",IF(W_カレンダー[[#This Row],[月]]&lt;=9,"Q2","Q3")))</f>
        <v>Q1</v>
      </c>
    </row>
    <row r="768" spans="1:5" ht="18" customHeight="1" x14ac:dyDescent="0.25">
      <c r="A768" s="27">
        <v>45783</v>
      </c>
      <c r="B768" s="29">
        <f>MONTH(W_カレンダー[[#This Row],[日付]])</f>
        <v>5</v>
      </c>
      <c r="C768" s="1">
        <f>YEAR(W_カレンダー[[#This Row],[日付]])</f>
        <v>2025</v>
      </c>
      <c r="D768" s="1">
        <f>IF(W_カレンダー[[#This Row],[月]]&lt;=3,W_カレンダー[[#This Row],[暦年]]-1,W_カレンダー[[#This Row],[暦年]])</f>
        <v>2025</v>
      </c>
      <c r="E768" s="1" t="str">
        <f>IF(W_カレンダー[[#This Row],[月]]&lt;=3,"Q4",IF(W_カレンダー[[#This Row],[月]]&lt;=6,"Q1",IF(W_カレンダー[[#This Row],[月]]&lt;=9,"Q2","Q3")))</f>
        <v>Q1</v>
      </c>
    </row>
    <row r="769" spans="1:5" ht="18" customHeight="1" x14ac:dyDescent="0.25">
      <c r="A769" s="27">
        <v>45784</v>
      </c>
      <c r="B769" s="29">
        <f>MONTH(W_カレンダー[[#This Row],[日付]])</f>
        <v>5</v>
      </c>
      <c r="C769" s="1">
        <f>YEAR(W_カレンダー[[#This Row],[日付]])</f>
        <v>2025</v>
      </c>
      <c r="D769" s="1">
        <f>IF(W_カレンダー[[#This Row],[月]]&lt;=3,W_カレンダー[[#This Row],[暦年]]-1,W_カレンダー[[#This Row],[暦年]])</f>
        <v>2025</v>
      </c>
      <c r="E769" s="1" t="str">
        <f>IF(W_カレンダー[[#This Row],[月]]&lt;=3,"Q4",IF(W_カレンダー[[#This Row],[月]]&lt;=6,"Q1",IF(W_カレンダー[[#This Row],[月]]&lt;=9,"Q2","Q3")))</f>
        <v>Q1</v>
      </c>
    </row>
    <row r="770" spans="1:5" ht="18" customHeight="1" x14ac:dyDescent="0.25">
      <c r="A770" s="27">
        <v>45785</v>
      </c>
      <c r="B770" s="29">
        <f>MONTH(W_カレンダー[[#This Row],[日付]])</f>
        <v>5</v>
      </c>
      <c r="C770" s="1">
        <f>YEAR(W_カレンダー[[#This Row],[日付]])</f>
        <v>2025</v>
      </c>
      <c r="D770" s="1">
        <f>IF(W_カレンダー[[#This Row],[月]]&lt;=3,W_カレンダー[[#This Row],[暦年]]-1,W_カレンダー[[#This Row],[暦年]])</f>
        <v>2025</v>
      </c>
      <c r="E770" s="1" t="str">
        <f>IF(W_カレンダー[[#This Row],[月]]&lt;=3,"Q4",IF(W_カレンダー[[#This Row],[月]]&lt;=6,"Q1",IF(W_カレンダー[[#This Row],[月]]&lt;=9,"Q2","Q3")))</f>
        <v>Q1</v>
      </c>
    </row>
    <row r="771" spans="1:5" ht="18" customHeight="1" x14ac:dyDescent="0.25">
      <c r="A771" s="27">
        <v>45786</v>
      </c>
      <c r="B771" s="29">
        <f>MONTH(W_カレンダー[[#This Row],[日付]])</f>
        <v>5</v>
      </c>
      <c r="C771" s="1">
        <f>YEAR(W_カレンダー[[#This Row],[日付]])</f>
        <v>2025</v>
      </c>
      <c r="D771" s="1">
        <f>IF(W_カレンダー[[#This Row],[月]]&lt;=3,W_カレンダー[[#This Row],[暦年]]-1,W_カレンダー[[#This Row],[暦年]])</f>
        <v>2025</v>
      </c>
      <c r="E771" s="1" t="str">
        <f>IF(W_カレンダー[[#This Row],[月]]&lt;=3,"Q4",IF(W_カレンダー[[#This Row],[月]]&lt;=6,"Q1",IF(W_カレンダー[[#This Row],[月]]&lt;=9,"Q2","Q3")))</f>
        <v>Q1</v>
      </c>
    </row>
    <row r="772" spans="1:5" ht="18" customHeight="1" x14ac:dyDescent="0.25">
      <c r="A772" s="27">
        <v>45787</v>
      </c>
      <c r="B772" s="29">
        <f>MONTH(W_カレンダー[[#This Row],[日付]])</f>
        <v>5</v>
      </c>
      <c r="C772" s="1">
        <f>YEAR(W_カレンダー[[#This Row],[日付]])</f>
        <v>2025</v>
      </c>
      <c r="D772" s="1">
        <f>IF(W_カレンダー[[#This Row],[月]]&lt;=3,W_カレンダー[[#This Row],[暦年]]-1,W_カレンダー[[#This Row],[暦年]])</f>
        <v>2025</v>
      </c>
      <c r="E772" s="1" t="str">
        <f>IF(W_カレンダー[[#This Row],[月]]&lt;=3,"Q4",IF(W_カレンダー[[#This Row],[月]]&lt;=6,"Q1",IF(W_カレンダー[[#This Row],[月]]&lt;=9,"Q2","Q3")))</f>
        <v>Q1</v>
      </c>
    </row>
    <row r="773" spans="1:5" ht="18" customHeight="1" x14ac:dyDescent="0.25">
      <c r="A773" s="27">
        <v>45788</v>
      </c>
      <c r="B773" s="29">
        <f>MONTH(W_カレンダー[[#This Row],[日付]])</f>
        <v>5</v>
      </c>
      <c r="C773" s="1">
        <f>YEAR(W_カレンダー[[#This Row],[日付]])</f>
        <v>2025</v>
      </c>
      <c r="D773" s="1">
        <f>IF(W_カレンダー[[#This Row],[月]]&lt;=3,W_カレンダー[[#This Row],[暦年]]-1,W_カレンダー[[#This Row],[暦年]])</f>
        <v>2025</v>
      </c>
      <c r="E773" s="1" t="str">
        <f>IF(W_カレンダー[[#This Row],[月]]&lt;=3,"Q4",IF(W_カレンダー[[#This Row],[月]]&lt;=6,"Q1",IF(W_カレンダー[[#This Row],[月]]&lt;=9,"Q2","Q3")))</f>
        <v>Q1</v>
      </c>
    </row>
    <row r="774" spans="1:5" ht="18" customHeight="1" x14ac:dyDescent="0.25">
      <c r="A774" s="27">
        <v>45789</v>
      </c>
      <c r="B774" s="29">
        <f>MONTH(W_カレンダー[[#This Row],[日付]])</f>
        <v>5</v>
      </c>
      <c r="C774" s="1">
        <f>YEAR(W_カレンダー[[#This Row],[日付]])</f>
        <v>2025</v>
      </c>
      <c r="D774" s="1">
        <f>IF(W_カレンダー[[#This Row],[月]]&lt;=3,W_カレンダー[[#This Row],[暦年]]-1,W_カレンダー[[#This Row],[暦年]])</f>
        <v>2025</v>
      </c>
      <c r="E774" s="1" t="str">
        <f>IF(W_カレンダー[[#This Row],[月]]&lt;=3,"Q4",IF(W_カレンダー[[#This Row],[月]]&lt;=6,"Q1",IF(W_カレンダー[[#This Row],[月]]&lt;=9,"Q2","Q3")))</f>
        <v>Q1</v>
      </c>
    </row>
    <row r="775" spans="1:5" ht="18" customHeight="1" x14ac:dyDescent="0.25">
      <c r="A775" s="27">
        <v>45790</v>
      </c>
      <c r="B775" s="29">
        <f>MONTH(W_カレンダー[[#This Row],[日付]])</f>
        <v>5</v>
      </c>
      <c r="C775" s="1">
        <f>YEAR(W_カレンダー[[#This Row],[日付]])</f>
        <v>2025</v>
      </c>
      <c r="D775" s="1">
        <f>IF(W_カレンダー[[#This Row],[月]]&lt;=3,W_カレンダー[[#This Row],[暦年]]-1,W_カレンダー[[#This Row],[暦年]])</f>
        <v>2025</v>
      </c>
      <c r="E775" s="1" t="str">
        <f>IF(W_カレンダー[[#This Row],[月]]&lt;=3,"Q4",IF(W_カレンダー[[#This Row],[月]]&lt;=6,"Q1",IF(W_カレンダー[[#This Row],[月]]&lt;=9,"Q2","Q3")))</f>
        <v>Q1</v>
      </c>
    </row>
    <row r="776" spans="1:5" ht="18" customHeight="1" x14ac:dyDescent="0.25">
      <c r="A776" s="27">
        <v>45791</v>
      </c>
      <c r="B776" s="29">
        <f>MONTH(W_カレンダー[[#This Row],[日付]])</f>
        <v>5</v>
      </c>
      <c r="C776" s="1">
        <f>YEAR(W_カレンダー[[#This Row],[日付]])</f>
        <v>2025</v>
      </c>
      <c r="D776" s="1">
        <f>IF(W_カレンダー[[#This Row],[月]]&lt;=3,W_カレンダー[[#This Row],[暦年]]-1,W_カレンダー[[#This Row],[暦年]])</f>
        <v>2025</v>
      </c>
      <c r="E776" s="1" t="str">
        <f>IF(W_カレンダー[[#This Row],[月]]&lt;=3,"Q4",IF(W_カレンダー[[#This Row],[月]]&lt;=6,"Q1",IF(W_カレンダー[[#This Row],[月]]&lt;=9,"Q2","Q3")))</f>
        <v>Q1</v>
      </c>
    </row>
    <row r="777" spans="1:5" ht="18" customHeight="1" x14ac:dyDescent="0.25">
      <c r="A777" s="27">
        <v>45792</v>
      </c>
      <c r="B777" s="29">
        <f>MONTH(W_カレンダー[[#This Row],[日付]])</f>
        <v>5</v>
      </c>
      <c r="C777" s="1">
        <f>YEAR(W_カレンダー[[#This Row],[日付]])</f>
        <v>2025</v>
      </c>
      <c r="D777" s="1">
        <f>IF(W_カレンダー[[#This Row],[月]]&lt;=3,W_カレンダー[[#This Row],[暦年]]-1,W_カレンダー[[#This Row],[暦年]])</f>
        <v>2025</v>
      </c>
      <c r="E777" s="1" t="str">
        <f>IF(W_カレンダー[[#This Row],[月]]&lt;=3,"Q4",IF(W_カレンダー[[#This Row],[月]]&lt;=6,"Q1",IF(W_カレンダー[[#This Row],[月]]&lt;=9,"Q2","Q3")))</f>
        <v>Q1</v>
      </c>
    </row>
    <row r="778" spans="1:5" ht="18" customHeight="1" x14ac:dyDescent="0.25">
      <c r="A778" s="27">
        <v>45793</v>
      </c>
      <c r="B778" s="29">
        <f>MONTH(W_カレンダー[[#This Row],[日付]])</f>
        <v>5</v>
      </c>
      <c r="C778" s="1">
        <f>YEAR(W_カレンダー[[#This Row],[日付]])</f>
        <v>2025</v>
      </c>
      <c r="D778" s="1">
        <f>IF(W_カレンダー[[#This Row],[月]]&lt;=3,W_カレンダー[[#This Row],[暦年]]-1,W_カレンダー[[#This Row],[暦年]])</f>
        <v>2025</v>
      </c>
      <c r="E778" s="1" t="str">
        <f>IF(W_カレンダー[[#This Row],[月]]&lt;=3,"Q4",IF(W_カレンダー[[#This Row],[月]]&lt;=6,"Q1",IF(W_カレンダー[[#This Row],[月]]&lt;=9,"Q2","Q3")))</f>
        <v>Q1</v>
      </c>
    </row>
    <row r="779" spans="1:5" ht="18" customHeight="1" x14ac:dyDescent="0.25">
      <c r="A779" s="27">
        <v>45794</v>
      </c>
      <c r="B779" s="29">
        <f>MONTH(W_カレンダー[[#This Row],[日付]])</f>
        <v>5</v>
      </c>
      <c r="C779" s="1">
        <f>YEAR(W_カレンダー[[#This Row],[日付]])</f>
        <v>2025</v>
      </c>
      <c r="D779" s="1">
        <f>IF(W_カレンダー[[#This Row],[月]]&lt;=3,W_カレンダー[[#This Row],[暦年]]-1,W_カレンダー[[#This Row],[暦年]])</f>
        <v>2025</v>
      </c>
      <c r="E779" s="1" t="str">
        <f>IF(W_カレンダー[[#This Row],[月]]&lt;=3,"Q4",IF(W_カレンダー[[#This Row],[月]]&lt;=6,"Q1",IF(W_カレンダー[[#This Row],[月]]&lt;=9,"Q2","Q3")))</f>
        <v>Q1</v>
      </c>
    </row>
    <row r="780" spans="1:5" ht="18" customHeight="1" x14ac:dyDescent="0.25">
      <c r="A780" s="27">
        <v>45795</v>
      </c>
      <c r="B780" s="29">
        <f>MONTH(W_カレンダー[[#This Row],[日付]])</f>
        <v>5</v>
      </c>
      <c r="C780" s="1">
        <f>YEAR(W_カレンダー[[#This Row],[日付]])</f>
        <v>2025</v>
      </c>
      <c r="D780" s="1">
        <f>IF(W_カレンダー[[#This Row],[月]]&lt;=3,W_カレンダー[[#This Row],[暦年]]-1,W_カレンダー[[#This Row],[暦年]])</f>
        <v>2025</v>
      </c>
      <c r="E780" s="1" t="str">
        <f>IF(W_カレンダー[[#This Row],[月]]&lt;=3,"Q4",IF(W_カレンダー[[#This Row],[月]]&lt;=6,"Q1",IF(W_カレンダー[[#This Row],[月]]&lt;=9,"Q2","Q3")))</f>
        <v>Q1</v>
      </c>
    </row>
    <row r="781" spans="1:5" ht="18" customHeight="1" x14ac:dyDescent="0.25">
      <c r="A781" s="27">
        <v>45796</v>
      </c>
      <c r="B781" s="29">
        <f>MONTH(W_カレンダー[[#This Row],[日付]])</f>
        <v>5</v>
      </c>
      <c r="C781" s="1">
        <f>YEAR(W_カレンダー[[#This Row],[日付]])</f>
        <v>2025</v>
      </c>
      <c r="D781" s="1">
        <f>IF(W_カレンダー[[#This Row],[月]]&lt;=3,W_カレンダー[[#This Row],[暦年]]-1,W_カレンダー[[#This Row],[暦年]])</f>
        <v>2025</v>
      </c>
      <c r="E781" s="1" t="str">
        <f>IF(W_カレンダー[[#This Row],[月]]&lt;=3,"Q4",IF(W_カレンダー[[#This Row],[月]]&lt;=6,"Q1",IF(W_カレンダー[[#This Row],[月]]&lt;=9,"Q2","Q3")))</f>
        <v>Q1</v>
      </c>
    </row>
    <row r="782" spans="1:5" ht="18" customHeight="1" x14ac:dyDescent="0.25">
      <c r="A782" s="27">
        <v>45797</v>
      </c>
      <c r="B782" s="29">
        <f>MONTH(W_カレンダー[[#This Row],[日付]])</f>
        <v>5</v>
      </c>
      <c r="C782" s="1">
        <f>YEAR(W_カレンダー[[#This Row],[日付]])</f>
        <v>2025</v>
      </c>
      <c r="D782" s="1">
        <f>IF(W_カレンダー[[#This Row],[月]]&lt;=3,W_カレンダー[[#This Row],[暦年]]-1,W_カレンダー[[#This Row],[暦年]])</f>
        <v>2025</v>
      </c>
      <c r="E782" s="1" t="str">
        <f>IF(W_カレンダー[[#This Row],[月]]&lt;=3,"Q4",IF(W_カレンダー[[#This Row],[月]]&lt;=6,"Q1",IF(W_カレンダー[[#This Row],[月]]&lt;=9,"Q2","Q3")))</f>
        <v>Q1</v>
      </c>
    </row>
    <row r="783" spans="1:5" ht="18" customHeight="1" x14ac:dyDescent="0.25">
      <c r="A783" s="27">
        <v>45798</v>
      </c>
      <c r="B783" s="29">
        <f>MONTH(W_カレンダー[[#This Row],[日付]])</f>
        <v>5</v>
      </c>
      <c r="C783" s="1">
        <f>YEAR(W_カレンダー[[#This Row],[日付]])</f>
        <v>2025</v>
      </c>
      <c r="D783" s="1">
        <f>IF(W_カレンダー[[#This Row],[月]]&lt;=3,W_カレンダー[[#This Row],[暦年]]-1,W_カレンダー[[#This Row],[暦年]])</f>
        <v>2025</v>
      </c>
      <c r="E783" s="1" t="str">
        <f>IF(W_カレンダー[[#This Row],[月]]&lt;=3,"Q4",IF(W_カレンダー[[#This Row],[月]]&lt;=6,"Q1",IF(W_カレンダー[[#This Row],[月]]&lt;=9,"Q2","Q3")))</f>
        <v>Q1</v>
      </c>
    </row>
    <row r="784" spans="1:5" ht="18" customHeight="1" x14ac:dyDescent="0.25">
      <c r="A784" s="27">
        <v>45799</v>
      </c>
      <c r="B784" s="29">
        <f>MONTH(W_カレンダー[[#This Row],[日付]])</f>
        <v>5</v>
      </c>
      <c r="C784" s="1">
        <f>YEAR(W_カレンダー[[#This Row],[日付]])</f>
        <v>2025</v>
      </c>
      <c r="D784" s="1">
        <f>IF(W_カレンダー[[#This Row],[月]]&lt;=3,W_カレンダー[[#This Row],[暦年]]-1,W_カレンダー[[#This Row],[暦年]])</f>
        <v>2025</v>
      </c>
      <c r="E784" s="1" t="str">
        <f>IF(W_カレンダー[[#This Row],[月]]&lt;=3,"Q4",IF(W_カレンダー[[#This Row],[月]]&lt;=6,"Q1",IF(W_カレンダー[[#This Row],[月]]&lt;=9,"Q2","Q3")))</f>
        <v>Q1</v>
      </c>
    </row>
    <row r="785" spans="1:5" ht="18" customHeight="1" x14ac:dyDescent="0.25">
      <c r="A785" s="27">
        <v>45800</v>
      </c>
      <c r="B785" s="29">
        <f>MONTH(W_カレンダー[[#This Row],[日付]])</f>
        <v>5</v>
      </c>
      <c r="C785" s="1">
        <f>YEAR(W_カレンダー[[#This Row],[日付]])</f>
        <v>2025</v>
      </c>
      <c r="D785" s="1">
        <f>IF(W_カレンダー[[#This Row],[月]]&lt;=3,W_カレンダー[[#This Row],[暦年]]-1,W_カレンダー[[#This Row],[暦年]])</f>
        <v>2025</v>
      </c>
      <c r="E785" s="1" t="str">
        <f>IF(W_カレンダー[[#This Row],[月]]&lt;=3,"Q4",IF(W_カレンダー[[#This Row],[月]]&lt;=6,"Q1",IF(W_カレンダー[[#This Row],[月]]&lt;=9,"Q2","Q3")))</f>
        <v>Q1</v>
      </c>
    </row>
    <row r="786" spans="1:5" ht="18" customHeight="1" x14ac:dyDescent="0.25">
      <c r="A786" s="27">
        <v>45801</v>
      </c>
      <c r="B786" s="29">
        <f>MONTH(W_カレンダー[[#This Row],[日付]])</f>
        <v>5</v>
      </c>
      <c r="C786" s="1">
        <f>YEAR(W_カレンダー[[#This Row],[日付]])</f>
        <v>2025</v>
      </c>
      <c r="D786" s="1">
        <f>IF(W_カレンダー[[#This Row],[月]]&lt;=3,W_カレンダー[[#This Row],[暦年]]-1,W_カレンダー[[#This Row],[暦年]])</f>
        <v>2025</v>
      </c>
      <c r="E786" s="1" t="str">
        <f>IF(W_カレンダー[[#This Row],[月]]&lt;=3,"Q4",IF(W_カレンダー[[#This Row],[月]]&lt;=6,"Q1",IF(W_カレンダー[[#This Row],[月]]&lt;=9,"Q2","Q3")))</f>
        <v>Q1</v>
      </c>
    </row>
    <row r="787" spans="1:5" ht="18" customHeight="1" x14ac:dyDescent="0.25">
      <c r="A787" s="27">
        <v>45802</v>
      </c>
      <c r="B787" s="29">
        <f>MONTH(W_カレンダー[[#This Row],[日付]])</f>
        <v>5</v>
      </c>
      <c r="C787" s="1">
        <f>YEAR(W_カレンダー[[#This Row],[日付]])</f>
        <v>2025</v>
      </c>
      <c r="D787" s="1">
        <f>IF(W_カレンダー[[#This Row],[月]]&lt;=3,W_カレンダー[[#This Row],[暦年]]-1,W_カレンダー[[#This Row],[暦年]])</f>
        <v>2025</v>
      </c>
      <c r="E787" s="1" t="str">
        <f>IF(W_カレンダー[[#This Row],[月]]&lt;=3,"Q4",IF(W_カレンダー[[#This Row],[月]]&lt;=6,"Q1",IF(W_カレンダー[[#This Row],[月]]&lt;=9,"Q2","Q3")))</f>
        <v>Q1</v>
      </c>
    </row>
    <row r="788" spans="1:5" ht="18" customHeight="1" x14ac:dyDescent="0.25">
      <c r="A788" s="27">
        <v>45803</v>
      </c>
      <c r="B788" s="29">
        <f>MONTH(W_カレンダー[[#This Row],[日付]])</f>
        <v>5</v>
      </c>
      <c r="C788" s="1">
        <f>YEAR(W_カレンダー[[#This Row],[日付]])</f>
        <v>2025</v>
      </c>
      <c r="D788" s="1">
        <f>IF(W_カレンダー[[#This Row],[月]]&lt;=3,W_カレンダー[[#This Row],[暦年]]-1,W_カレンダー[[#This Row],[暦年]])</f>
        <v>2025</v>
      </c>
      <c r="E788" s="1" t="str">
        <f>IF(W_カレンダー[[#This Row],[月]]&lt;=3,"Q4",IF(W_カレンダー[[#This Row],[月]]&lt;=6,"Q1",IF(W_カレンダー[[#This Row],[月]]&lt;=9,"Q2","Q3")))</f>
        <v>Q1</v>
      </c>
    </row>
    <row r="789" spans="1:5" ht="18" customHeight="1" x14ac:dyDescent="0.25">
      <c r="A789" s="27">
        <v>45804</v>
      </c>
      <c r="B789" s="29">
        <f>MONTH(W_カレンダー[[#This Row],[日付]])</f>
        <v>5</v>
      </c>
      <c r="C789" s="1">
        <f>YEAR(W_カレンダー[[#This Row],[日付]])</f>
        <v>2025</v>
      </c>
      <c r="D789" s="1">
        <f>IF(W_カレンダー[[#This Row],[月]]&lt;=3,W_カレンダー[[#This Row],[暦年]]-1,W_カレンダー[[#This Row],[暦年]])</f>
        <v>2025</v>
      </c>
      <c r="E789" s="1" t="str">
        <f>IF(W_カレンダー[[#This Row],[月]]&lt;=3,"Q4",IF(W_カレンダー[[#This Row],[月]]&lt;=6,"Q1",IF(W_カレンダー[[#This Row],[月]]&lt;=9,"Q2","Q3")))</f>
        <v>Q1</v>
      </c>
    </row>
    <row r="790" spans="1:5" ht="18" customHeight="1" x14ac:dyDescent="0.25">
      <c r="A790" s="27">
        <v>45805</v>
      </c>
      <c r="B790" s="29">
        <f>MONTH(W_カレンダー[[#This Row],[日付]])</f>
        <v>5</v>
      </c>
      <c r="C790" s="1">
        <f>YEAR(W_カレンダー[[#This Row],[日付]])</f>
        <v>2025</v>
      </c>
      <c r="D790" s="1">
        <f>IF(W_カレンダー[[#This Row],[月]]&lt;=3,W_カレンダー[[#This Row],[暦年]]-1,W_カレンダー[[#This Row],[暦年]])</f>
        <v>2025</v>
      </c>
      <c r="E790" s="1" t="str">
        <f>IF(W_カレンダー[[#This Row],[月]]&lt;=3,"Q4",IF(W_カレンダー[[#This Row],[月]]&lt;=6,"Q1",IF(W_カレンダー[[#This Row],[月]]&lt;=9,"Q2","Q3")))</f>
        <v>Q1</v>
      </c>
    </row>
    <row r="791" spans="1:5" ht="18" customHeight="1" x14ac:dyDescent="0.25">
      <c r="A791" s="27">
        <v>45806</v>
      </c>
      <c r="B791" s="29">
        <f>MONTH(W_カレンダー[[#This Row],[日付]])</f>
        <v>5</v>
      </c>
      <c r="C791" s="1">
        <f>YEAR(W_カレンダー[[#This Row],[日付]])</f>
        <v>2025</v>
      </c>
      <c r="D791" s="1">
        <f>IF(W_カレンダー[[#This Row],[月]]&lt;=3,W_カレンダー[[#This Row],[暦年]]-1,W_カレンダー[[#This Row],[暦年]])</f>
        <v>2025</v>
      </c>
      <c r="E791" s="1" t="str">
        <f>IF(W_カレンダー[[#This Row],[月]]&lt;=3,"Q4",IF(W_カレンダー[[#This Row],[月]]&lt;=6,"Q1",IF(W_カレンダー[[#This Row],[月]]&lt;=9,"Q2","Q3")))</f>
        <v>Q1</v>
      </c>
    </row>
    <row r="792" spans="1:5" ht="18" customHeight="1" x14ac:dyDescent="0.25">
      <c r="A792" s="27">
        <v>45807</v>
      </c>
      <c r="B792" s="29">
        <f>MONTH(W_カレンダー[[#This Row],[日付]])</f>
        <v>5</v>
      </c>
      <c r="C792" s="1">
        <f>YEAR(W_カレンダー[[#This Row],[日付]])</f>
        <v>2025</v>
      </c>
      <c r="D792" s="1">
        <f>IF(W_カレンダー[[#This Row],[月]]&lt;=3,W_カレンダー[[#This Row],[暦年]]-1,W_カレンダー[[#This Row],[暦年]])</f>
        <v>2025</v>
      </c>
      <c r="E792" s="1" t="str">
        <f>IF(W_カレンダー[[#This Row],[月]]&lt;=3,"Q4",IF(W_カレンダー[[#This Row],[月]]&lt;=6,"Q1",IF(W_カレンダー[[#This Row],[月]]&lt;=9,"Q2","Q3")))</f>
        <v>Q1</v>
      </c>
    </row>
    <row r="793" spans="1:5" ht="18" customHeight="1" x14ac:dyDescent="0.25">
      <c r="A793" s="27">
        <v>45808</v>
      </c>
      <c r="B793" s="29">
        <f>MONTH(W_カレンダー[[#This Row],[日付]])</f>
        <v>5</v>
      </c>
      <c r="C793" s="1">
        <f>YEAR(W_カレンダー[[#This Row],[日付]])</f>
        <v>2025</v>
      </c>
      <c r="D793" s="1">
        <f>IF(W_カレンダー[[#This Row],[月]]&lt;=3,W_カレンダー[[#This Row],[暦年]]-1,W_カレンダー[[#This Row],[暦年]])</f>
        <v>2025</v>
      </c>
      <c r="E793" s="1" t="str">
        <f>IF(W_カレンダー[[#This Row],[月]]&lt;=3,"Q4",IF(W_カレンダー[[#This Row],[月]]&lt;=6,"Q1",IF(W_カレンダー[[#This Row],[月]]&lt;=9,"Q2","Q3")))</f>
        <v>Q1</v>
      </c>
    </row>
    <row r="794" spans="1:5" ht="18" customHeight="1" x14ac:dyDescent="0.25">
      <c r="A794" s="27">
        <v>45809</v>
      </c>
      <c r="B794" s="29">
        <f>MONTH(W_カレンダー[[#This Row],[日付]])</f>
        <v>6</v>
      </c>
      <c r="C794" s="1">
        <f>YEAR(W_カレンダー[[#This Row],[日付]])</f>
        <v>2025</v>
      </c>
      <c r="D794" s="1">
        <f>IF(W_カレンダー[[#This Row],[月]]&lt;=3,W_カレンダー[[#This Row],[暦年]]-1,W_カレンダー[[#This Row],[暦年]])</f>
        <v>2025</v>
      </c>
      <c r="E794" s="1" t="str">
        <f>IF(W_カレンダー[[#This Row],[月]]&lt;=3,"Q4",IF(W_カレンダー[[#This Row],[月]]&lt;=6,"Q1",IF(W_カレンダー[[#This Row],[月]]&lt;=9,"Q2","Q3")))</f>
        <v>Q1</v>
      </c>
    </row>
    <row r="795" spans="1:5" ht="18" customHeight="1" x14ac:dyDescent="0.25">
      <c r="A795" s="27">
        <v>45810</v>
      </c>
      <c r="B795" s="29">
        <f>MONTH(W_カレンダー[[#This Row],[日付]])</f>
        <v>6</v>
      </c>
      <c r="C795" s="1">
        <f>YEAR(W_カレンダー[[#This Row],[日付]])</f>
        <v>2025</v>
      </c>
      <c r="D795" s="1">
        <f>IF(W_カレンダー[[#This Row],[月]]&lt;=3,W_カレンダー[[#This Row],[暦年]]-1,W_カレンダー[[#This Row],[暦年]])</f>
        <v>2025</v>
      </c>
      <c r="E795" s="1" t="str">
        <f>IF(W_カレンダー[[#This Row],[月]]&lt;=3,"Q4",IF(W_カレンダー[[#This Row],[月]]&lt;=6,"Q1",IF(W_カレンダー[[#This Row],[月]]&lt;=9,"Q2","Q3")))</f>
        <v>Q1</v>
      </c>
    </row>
    <row r="796" spans="1:5" ht="18" customHeight="1" x14ac:dyDescent="0.25">
      <c r="A796" s="27">
        <v>45811</v>
      </c>
      <c r="B796" s="29">
        <f>MONTH(W_カレンダー[[#This Row],[日付]])</f>
        <v>6</v>
      </c>
      <c r="C796" s="1">
        <f>YEAR(W_カレンダー[[#This Row],[日付]])</f>
        <v>2025</v>
      </c>
      <c r="D796" s="1">
        <f>IF(W_カレンダー[[#This Row],[月]]&lt;=3,W_カレンダー[[#This Row],[暦年]]-1,W_カレンダー[[#This Row],[暦年]])</f>
        <v>2025</v>
      </c>
      <c r="E796" s="1" t="str">
        <f>IF(W_カレンダー[[#This Row],[月]]&lt;=3,"Q4",IF(W_カレンダー[[#This Row],[月]]&lt;=6,"Q1",IF(W_カレンダー[[#This Row],[月]]&lt;=9,"Q2","Q3")))</f>
        <v>Q1</v>
      </c>
    </row>
    <row r="797" spans="1:5" ht="18" customHeight="1" x14ac:dyDescent="0.25">
      <c r="A797" s="27">
        <v>45812</v>
      </c>
      <c r="B797" s="29">
        <f>MONTH(W_カレンダー[[#This Row],[日付]])</f>
        <v>6</v>
      </c>
      <c r="C797" s="1">
        <f>YEAR(W_カレンダー[[#This Row],[日付]])</f>
        <v>2025</v>
      </c>
      <c r="D797" s="1">
        <f>IF(W_カレンダー[[#This Row],[月]]&lt;=3,W_カレンダー[[#This Row],[暦年]]-1,W_カレンダー[[#This Row],[暦年]])</f>
        <v>2025</v>
      </c>
      <c r="E797" s="1" t="str">
        <f>IF(W_カレンダー[[#This Row],[月]]&lt;=3,"Q4",IF(W_カレンダー[[#This Row],[月]]&lt;=6,"Q1",IF(W_カレンダー[[#This Row],[月]]&lt;=9,"Q2","Q3")))</f>
        <v>Q1</v>
      </c>
    </row>
    <row r="798" spans="1:5" ht="18" customHeight="1" x14ac:dyDescent="0.25">
      <c r="A798" s="27">
        <v>45813</v>
      </c>
      <c r="B798" s="29">
        <f>MONTH(W_カレンダー[[#This Row],[日付]])</f>
        <v>6</v>
      </c>
      <c r="C798" s="1">
        <f>YEAR(W_カレンダー[[#This Row],[日付]])</f>
        <v>2025</v>
      </c>
      <c r="D798" s="1">
        <f>IF(W_カレンダー[[#This Row],[月]]&lt;=3,W_カレンダー[[#This Row],[暦年]]-1,W_カレンダー[[#This Row],[暦年]])</f>
        <v>2025</v>
      </c>
      <c r="E798" s="1" t="str">
        <f>IF(W_カレンダー[[#This Row],[月]]&lt;=3,"Q4",IF(W_カレンダー[[#This Row],[月]]&lt;=6,"Q1",IF(W_カレンダー[[#This Row],[月]]&lt;=9,"Q2","Q3")))</f>
        <v>Q1</v>
      </c>
    </row>
    <row r="799" spans="1:5" ht="18" customHeight="1" x14ac:dyDescent="0.25">
      <c r="A799" s="27">
        <v>45814</v>
      </c>
      <c r="B799" s="29">
        <f>MONTH(W_カレンダー[[#This Row],[日付]])</f>
        <v>6</v>
      </c>
      <c r="C799" s="1">
        <f>YEAR(W_カレンダー[[#This Row],[日付]])</f>
        <v>2025</v>
      </c>
      <c r="D799" s="1">
        <f>IF(W_カレンダー[[#This Row],[月]]&lt;=3,W_カレンダー[[#This Row],[暦年]]-1,W_カレンダー[[#This Row],[暦年]])</f>
        <v>2025</v>
      </c>
      <c r="E799" s="1" t="str">
        <f>IF(W_カレンダー[[#This Row],[月]]&lt;=3,"Q4",IF(W_カレンダー[[#This Row],[月]]&lt;=6,"Q1",IF(W_カレンダー[[#This Row],[月]]&lt;=9,"Q2","Q3")))</f>
        <v>Q1</v>
      </c>
    </row>
    <row r="800" spans="1:5" ht="18" customHeight="1" x14ac:dyDescent="0.25">
      <c r="A800" s="27">
        <v>45815</v>
      </c>
      <c r="B800" s="29">
        <f>MONTH(W_カレンダー[[#This Row],[日付]])</f>
        <v>6</v>
      </c>
      <c r="C800" s="1">
        <f>YEAR(W_カレンダー[[#This Row],[日付]])</f>
        <v>2025</v>
      </c>
      <c r="D800" s="1">
        <f>IF(W_カレンダー[[#This Row],[月]]&lt;=3,W_カレンダー[[#This Row],[暦年]]-1,W_カレンダー[[#This Row],[暦年]])</f>
        <v>2025</v>
      </c>
      <c r="E800" s="1" t="str">
        <f>IF(W_カレンダー[[#This Row],[月]]&lt;=3,"Q4",IF(W_カレンダー[[#This Row],[月]]&lt;=6,"Q1",IF(W_カレンダー[[#This Row],[月]]&lt;=9,"Q2","Q3")))</f>
        <v>Q1</v>
      </c>
    </row>
    <row r="801" spans="1:5" ht="18" customHeight="1" x14ac:dyDescent="0.25">
      <c r="A801" s="27">
        <v>45816</v>
      </c>
      <c r="B801" s="29">
        <f>MONTH(W_カレンダー[[#This Row],[日付]])</f>
        <v>6</v>
      </c>
      <c r="C801" s="1">
        <f>YEAR(W_カレンダー[[#This Row],[日付]])</f>
        <v>2025</v>
      </c>
      <c r="D801" s="1">
        <f>IF(W_カレンダー[[#This Row],[月]]&lt;=3,W_カレンダー[[#This Row],[暦年]]-1,W_カレンダー[[#This Row],[暦年]])</f>
        <v>2025</v>
      </c>
      <c r="E801" s="1" t="str">
        <f>IF(W_カレンダー[[#This Row],[月]]&lt;=3,"Q4",IF(W_カレンダー[[#This Row],[月]]&lt;=6,"Q1",IF(W_カレンダー[[#This Row],[月]]&lt;=9,"Q2","Q3")))</f>
        <v>Q1</v>
      </c>
    </row>
    <row r="802" spans="1:5" ht="18" customHeight="1" x14ac:dyDescent="0.25">
      <c r="A802" s="27">
        <v>45817</v>
      </c>
      <c r="B802" s="29">
        <f>MONTH(W_カレンダー[[#This Row],[日付]])</f>
        <v>6</v>
      </c>
      <c r="C802" s="1">
        <f>YEAR(W_カレンダー[[#This Row],[日付]])</f>
        <v>2025</v>
      </c>
      <c r="D802" s="1">
        <f>IF(W_カレンダー[[#This Row],[月]]&lt;=3,W_カレンダー[[#This Row],[暦年]]-1,W_カレンダー[[#This Row],[暦年]])</f>
        <v>2025</v>
      </c>
      <c r="E802" s="1" t="str">
        <f>IF(W_カレンダー[[#This Row],[月]]&lt;=3,"Q4",IF(W_カレンダー[[#This Row],[月]]&lt;=6,"Q1",IF(W_カレンダー[[#This Row],[月]]&lt;=9,"Q2","Q3")))</f>
        <v>Q1</v>
      </c>
    </row>
    <row r="803" spans="1:5" ht="18" customHeight="1" x14ac:dyDescent="0.25">
      <c r="A803" s="27">
        <v>45818</v>
      </c>
      <c r="B803" s="29">
        <f>MONTH(W_カレンダー[[#This Row],[日付]])</f>
        <v>6</v>
      </c>
      <c r="C803" s="1">
        <f>YEAR(W_カレンダー[[#This Row],[日付]])</f>
        <v>2025</v>
      </c>
      <c r="D803" s="1">
        <f>IF(W_カレンダー[[#This Row],[月]]&lt;=3,W_カレンダー[[#This Row],[暦年]]-1,W_カレンダー[[#This Row],[暦年]])</f>
        <v>2025</v>
      </c>
      <c r="E803" s="1" t="str">
        <f>IF(W_カレンダー[[#This Row],[月]]&lt;=3,"Q4",IF(W_カレンダー[[#This Row],[月]]&lt;=6,"Q1",IF(W_カレンダー[[#This Row],[月]]&lt;=9,"Q2","Q3")))</f>
        <v>Q1</v>
      </c>
    </row>
    <row r="804" spans="1:5" ht="18" customHeight="1" x14ac:dyDescent="0.25">
      <c r="A804" s="27">
        <v>45819</v>
      </c>
      <c r="B804" s="29">
        <f>MONTH(W_カレンダー[[#This Row],[日付]])</f>
        <v>6</v>
      </c>
      <c r="C804" s="1">
        <f>YEAR(W_カレンダー[[#This Row],[日付]])</f>
        <v>2025</v>
      </c>
      <c r="D804" s="1">
        <f>IF(W_カレンダー[[#This Row],[月]]&lt;=3,W_カレンダー[[#This Row],[暦年]]-1,W_カレンダー[[#This Row],[暦年]])</f>
        <v>2025</v>
      </c>
      <c r="E804" s="1" t="str">
        <f>IF(W_カレンダー[[#This Row],[月]]&lt;=3,"Q4",IF(W_カレンダー[[#This Row],[月]]&lt;=6,"Q1",IF(W_カレンダー[[#This Row],[月]]&lt;=9,"Q2","Q3")))</f>
        <v>Q1</v>
      </c>
    </row>
    <row r="805" spans="1:5" ht="18" customHeight="1" x14ac:dyDescent="0.25">
      <c r="A805" s="27">
        <v>45820</v>
      </c>
      <c r="B805" s="29">
        <f>MONTH(W_カレンダー[[#This Row],[日付]])</f>
        <v>6</v>
      </c>
      <c r="C805" s="1">
        <f>YEAR(W_カレンダー[[#This Row],[日付]])</f>
        <v>2025</v>
      </c>
      <c r="D805" s="1">
        <f>IF(W_カレンダー[[#This Row],[月]]&lt;=3,W_カレンダー[[#This Row],[暦年]]-1,W_カレンダー[[#This Row],[暦年]])</f>
        <v>2025</v>
      </c>
      <c r="E805" s="1" t="str">
        <f>IF(W_カレンダー[[#This Row],[月]]&lt;=3,"Q4",IF(W_カレンダー[[#This Row],[月]]&lt;=6,"Q1",IF(W_カレンダー[[#This Row],[月]]&lt;=9,"Q2","Q3")))</f>
        <v>Q1</v>
      </c>
    </row>
    <row r="806" spans="1:5" ht="18" customHeight="1" x14ac:dyDescent="0.25">
      <c r="A806" s="27">
        <v>45821</v>
      </c>
      <c r="B806" s="29">
        <f>MONTH(W_カレンダー[[#This Row],[日付]])</f>
        <v>6</v>
      </c>
      <c r="C806" s="1">
        <f>YEAR(W_カレンダー[[#This Row],[日付]])</f>
        <v>2025</v>
      </c>
      <c r="D806" s="1">
        <f>IF(W_カレンダー[[#This Row],[月]]&lt;=3,W_カレンダー[[#This Row],[暦年]]-1,W_カレンダー[[#This Row],[暦年]])</f>
        <v>2025</v>
      </c>
      <c r="E806" s="1" t="str">
        <f>IF(W_カレンダー[[#This Row],[月]]&lt;=3,"Q4",IF(W_カレンダー[[#This Row],[月]]&lt;=6,"Q1",IF(W_カレンダー[[#This Row],[月]]&lt;=9,"Q2","Q3")))</f>
        <v>Q1</v>
      </c>
    </row>
    <row r="807" spans="1:5" ht="18" customHeight="1" x14ac:dyDescent="0.25">
      <c r="A807" s="27">
        <v>45822</v>
      </c>
      <c r="B807" s="29">
        <f>MONTH(W_カレンダー[[#This Row],[日付]])</f>
        <v>6</v>
      </c>
      <c r="C807" s="1">
        <f>YEAR(W_カレンダー[[#This Row],[日付]])</f>
        <v>2025</v>
      </c>
      <c r="D807" s="1">
        <f>IF(W_カレンダー[[#This Row],[月]]&lt;=3,W_カレンダー[[#This Row],[暦年]]-1,W_カレンダー[[#This Row],[暦年]])</f>
        <v>2025</v>
      </c>
      <c r="E807" s="1" t="str">
        <f>IF(W_カレンダー[[#This Row],[月]]&lt;=3,"Q4",IF(W_カレンダー[[#This Row],[月]]&lt;=6,"Q1",IF(W_カレンダー[[#This Row],[月]]&lt;=9,"Q2","Q3")))</f>
        <v>Q1</v>
      </c>
    </row>
    <row r="808" spans="1:5" ht="18" customHeight="1" x14ac:dyDescent="0.25">
      <c r="A808" s="27">
        <v>45823</v>
      </c>
      <c r="B808" s="29">
        <f>MONTH(W_カレンダー[[#This Row],[日付]])</f>
        <v>6</v>
      </c>
      <c r="C808" s="1">
        <f>YEAR(W_カレンダー[[#This Row],[日付]])</f>
        <v>2025</v>
      </c>
      <c r="D808" s="1">
        <f>IF(W_カレンダー[[#This Row],[月]]&lt;=3,W_カレンダー[[#This Row],[暦年]]-1,W_カレンダー[[#This Row],[暦年]])</f>
        <v>2025</v>
      </c>
      <c r="E808" s="1" t="str">
        <f>IF(W_カレンダー[[#This Row],[月]]&lt;=3,"Q4",IF(W_カレンダー[[#This Row],[月]]&lt;=6,"Q1",IF(W_カレンダー[[#This Row],[月]]&lt;=9,"Q2","Q3")))</f>
        <v>Q1</v>
      </c>
    </row>
    <row r="809" spans="1:5" ht="18" customHeight="1" x14ac:dyDescent="0.25">
      <c r="A809" s="27">
        <v>45824</v>
      </c>
      <c r="B809" s="29">
        <f>MONTH(W_カレンダー[[#This Row],[日付]])</f>
        <v>6</v>
      </c>
      <c r="C809" s="1">
        <f>YEAR(W_カレンダー[[#This Row],[日付]])</f>
        <v>2025</v>
      </c>
      <c r="D809" s="1">
        <f>IF(W_カレンダー[[#This Row],[月]]&lt;=3,W_カレンダー[[#This Row],[暦年]]-1,W_カレンダー[[#This Row],[暦年]])</f>
        <v>2025</v>
      </c>
      <c r="E809" s="1" t="str">
        <f>IF(W_カレンダー[[#This Row],[月]]&lt;=3,"Q4",IF(W_カレンダー[[#This Row],[月]]&lt;=6,"Q1",IF(W_カレンダー[[#This Row],[月]]&lt;=9,"Q2","Q3")))</f>
        <v>Q1</v>
      </c>
    </row>
    <row r="810" spans="1:5" ht="18" customHeight="1" x14ac:dyDescent="0.25">
      <c r="A810" s="27">
        <v>45825</v>
      </c>
      <c r="B810" s="29">
        <f>MONTH(W_カレンダー[[#This Row],[日付]])</f>
        <v>6</v>
      </c>
      <c r="C810" s="1">
        <f>YEAR(W_カレンダー[[#This Row],[日付]])</f>
        <v>2025</v>
      </c>
      <c r="D810" s="1">
        <f>IF(W_カレンダー[[#This Row],[月]]&lt;=3,W_カレンダー[[#This Row],[暦年]]-1,W_カレンダー[[#This Row],[暦年]])</f>
        <v>2025</v>
      </c>
      <c r="E810" s="1" t="str">
        <f>IF(W_カレンダー[[#This Row],[月]]&lt;=3,"Q4",IF(W_カレンダー[[#This Row],[月]]&lt;=6,"Q1",IF(W_カレンダー[[#This Row],[月]]&lt;=9,"Q2","Q3")))</f>
        <v>Q1</v>
      </c>
    </row>
    <row r="811" spans="1:5" ht="18" customHeight="1" x14ac:dyDescent="0.25">
      <c r="A811" s="27">
        <v>45826</v>
      </c>
      <c r="B811" s="29">
        <f>MONTH(W_カレンダー[[#This Row],[日付]])</f>
        <v>6</v>
      </c>
      <c r="C811" s="1">
        <f>YEAR(W_カレンダー[[#This Row],[日付]])</f>
        <v>2025</v>
      </c>
      <c r="D811" s="1">
        <f>IF(W_カレンダー[[#This Row],[月]]&lt;=3,W_カレンダー[[#This Row],[暦年]]-1,W_カレンダー[[#This Row],[暦年]])</f>
        <v>2025</v>
      </c>
      <c r="E811" s="1" t="str">
        <f>IF(W_カレンダー[[#This Row],[月]]&lt;=3,"Q4",IF(W_カレンダー[[#This Row],[月]]&lt;=6,"Q1",IF(W_カレンダー[[#This Row],[月]]&lt;=9,"Q2","Q3")))</f>
        <v>Q1</v>
      </c>
    </row>
    <row r="812" spans="1:5" ht="18" customHeight="1" x14ac:dyDescent="0.25">
      <c r="A812" s="27">
        <v>45827</v>
      </c>
      <c r="B812" s="29">
        <f>MONTH(W_カレンダー[[#This Row],[日付]])</f>
        <v>6</v>
      </c>
      <c r="C812" s="1">
        <f>YEAR(W_カレンダー[[#This Row],[日付]])</f>
        <v>2025</v>
      </c>
      <c r="D812" s="1">
        <f>IF(W_カレンダー[[#This Row],[月]]&lt;=3,W_カレンダー[[#This Row],[暦年]]-1,W_カレンダー[[#This Row],[暦年]])</f>
        <v>2025</v>
      </c>
      <c r="E812" s="1" t="str">
        <f>IF(W_カレンダー[[#This Row],[月]]&lt;=3,"Q4",IF(W_カレンダー[[#This Row],[月]]&lt;=6,"Q1",IF(W_カレンダー[[#This Row],[月]]&lt;=9,"Q2","Q3")))</f>
        <v>Q1</v>
      </c>
    </row>
    <row r="813" spans="1:5" ht="18" customHeight="1" x14ac:dyDescent="0.25">
      <c r="A813" s="27">
        <v>45828</v>
      </c>
      <c r="B813" s="29">
        <f>MONTH(W_カレンダー[[#This Row],[日付]])</f>
        <v>6</v>
      </c>
      <c r="C813" s="1">
        <f>YEAR(W_カレンダー[[#This Row],[日付]])</f>
        <v>2025</v>
      </c>
      <c r="D813" s="1">
        <f>IF(W_カレンダー[[#This Row],[月]]&lt;=3,W_カレンダー[[#This Row],[暦年]]-1,W_カレンダー[[#This Row],[暦年]])</f>
        <v>2025</v>
      </c>
      <c r="E813" s="1" t="str">
        <f>IF(W_カレンダー[[#This Row],[月]]&lt;=3,"Q4",IF(W_カレンダー[[#This Row],[月]]&lt;=6,"Q1",IF(W_カレンダー[[#This Row],[月]]&lt;=9,"Q2","Q3")))</f>
        <v>Q1</v>
      </c>
    </row>
    <row r="814" spans="1:5" ht="18" customHeight="1" x14ac:dyDescent="0.25">
      <c r="A814" s="27">
        <v>45829</v>
      </c>
      <c r="B814" s="29">
        <f>MONTH(W_カレンダー[[#This Row],[日付]])</f>
        <v>6</v>
      </c>
      <c r="C814" s="1">
        <f>YEAR(W_カレンダー[[#This Row],[日付]])</f>
        <v>2025</v>
      </c>
      <c r="D814" s="1">
        <f>IF(W_カレンダー[[#This Row],[月]]&lt;=3,W_カレンダー[[#This Row],[暦年]]-1,W_カレンダー[[#This Row],[暦年]])</f>
        <v>2025</v>
      </c>
      <c r="E814" s="1" t="str">
        <f>IF(W_カレンダー[[#This Row],[月]]&lt;=3,"Q4",IF(W_カレンダー[[#This Row],[月]]&lt;=6,"Q1",IF(W_カレンダー[[#This Row],[月]]&lt;=9,"Q2","Q3")))</f>
        <v>Q1</v>
      </c>
    </row>
    <row r="815" spans="1:5" ht="18" customHeight="1" x14ac:dyDescent="0.25">
      <c r="A815" s="27">
        <v>45830</v>
      </c>
      <c r="B815" s="29">
        <f>MONTH(W_カレンダー[[#This Row],[日付]])</f>
        <v>6</v>
      </c>
      <c r="C815" s="1">
        <f>YEAR(W_カレンダー[[#This Row],[日付]])</f>
        <v>2025</v>
      </c>
      <c r="D815" s="1">
        <f>IF(W_カレンダー[[#This Row],[月]]&lt;=3,W_カレンダー[[#This Row],[暦年]]-1,W_カレンダー[[#This Row],[暦年]])</f>
        <v>2025</v>
      </c>
      <c r="E815" s="1" t="str">
        <f>IF(W_カレンダー[[#This Row],[月]]&lt;=3,"Q4",IF(W_カレンダー[[#This Row],[月]]&lt;=6,"Q1",IF(W_カレンダー[[#This Row],[月]]&lt;=9,"Q2","Q3")))</f>
        <v>Q1</v>
      </c>
    </row>
    <row r="816" spans="1:5" ht="18" customHeight="1" x14ac:dyDescent="0.25">
      <c r="A816" s="27">
        <v>45831</v>
      </c>
      <c r="B816" s="29">
        <f>MONTH(W_カレンダー[[#This Row],[日付]])</f>
        <v>6</v>
      </c>
      <c r="C816" s="1">
        <f>YEAR(W_カレンダー[[#This Row],[日付]])</f>
        <v>2025</v>
      </c>
      <c r="D816" s="1">
        <f>IF(W_カレンダー[[#This Row],[月]]&lt;=3,W_カレンダー[[#This Row],[暦年]]-1,W_カレンダー[[#This Row],[暦年]])</f>
        <v>2025</v>
      </c>
      <c r="E816" s="1" t="str">
        <f>IF(W_カレンダー[[#This Row],[月]]&lt;=3,"Q4",IF(W_カレンダー[[#This Row],[月]]&lt;=6,"Q1",IF(W_カレンダー[[#This Row],[月]]&lt;=9,"Q2","Q3")))</f>
        <v>Q1</v>
      </c>
    </row>
    <row r="817" spans="1:5" ht="18" customHeight="1" x14ac:dyDescent="0.25">
      <c r="A817" s="27">
        <v>45832</v>
      </c>
      <c r="B817" s="29">
        <f>MONTH(W_カレンダー[[#This Row],[日付]])</f>
        <v>6</v>
      </c>
      <c r="C817" s="1">
        <f>YEAR(W_カレンダー[[#This Row],[日付]])</f>
        <v>2025</v>
      </c>
      <c r="D817" s="1">
        <f>IF(W_カレンダー[[#This Row],[月]]&lt;=3,W_カレンダー[[#This Row],[暦年]]-1,W_カレンダー[[#This Row],[暦年]])</f>
        <v>2025</v>
      </c>
      <c r="E817" s="1" t="str">
        <f>IF(W_カレンダー[[#This Row],[月]]&lt;=3,"Q4",IF(W_カレンダー[[#This Row],[月]]&lt;=6,"Q1",IF(W_カレンダー[[#This Row],[月]]&lt;=9,"Q2","Q3")))</f>
        <v>Q1</v>
      </c>
    </row>
    <row r="818" spans="1:5" ht="18" customHeight="1" x14ac:dyDescent="0.25">
      <c r="A818" s="27">
        <v>45833</v>
      </c>
      <c r="B818" s="29">
        <f>MONTH(W_カレンダー[[#This Row],[日付]])</f>
        <v>6</v>
      </c>
      <c r="C818" s="1">
        <f>YEAR(W_カレンダー[[#This Row],[日付]])</f>
        <v>2025</v>
      </c>
      <c r="D818" s="1">
        <f>IF(W_カレンダー[[#This Row],[月]]&lt;=3,W_カレンダー[[#This Row],[暦年]]-1,W_カレンダー[[#This Row],[暦年]])</f>
        <v>2025</v>
      </c>
      <c r="E818" s="1" t="str">
        <f>IF(W_カレンダー[[#This Row],[月]]&lt;=3,"Q4",IF(W_カレンダー[[#This Row],[月]]&lt;=6,"Q1",IF(W_カレンダー[[#This Row],[月]]&lt;=9,"Q2","Q3")))</f>
        <v>Q1</v>
      </c>
    </row>
    <row r="819" spans="1:5" ht="18" customHeight="1" x14ac:dyDescent="0.25">
      <c r="A819" s="27">
        <v>45834</v>
      </c>
      <c r="B819" s="29">
        <f>MONTH(W_カレンダー[[#This Row],[日付]])</f>
        <v>6</v>
      </c>
      <c r="C819" s="1">
        <f>YEAR(W_カレンダー[[#This Row],[日付]])</f>
        <v>2025</v>
      </c>
      <c r="D819" s="1">
        <f>IF(W_カレンダー[[#This Row],[月]]&lt;=3,W_カレンダー[[#This Row],[暦年]]-1,W_カレンダー[[#This Row],[暦年]])</f>
        <v>2025</v>
      </c>
      <c r="E819" s="1" t="str">
        <f>IF(W_カレンダー[[#This Row],[月]]&lt;=3,"Q4",IF(W_カレンダー[[#This Row],[月]]&lt;=6,"Q1",IF(W_カレンダー[[#This Row],[月]]&lt;=9,"Q2","Q3")))</f>
        <v>Q1</v>
      </c>
    </row>
    <row r="820" spans="1:5" ht="18" customHeight="1" x14ac:dyDescent="0.25">
      <c r="A820" s="27">
        <v>45835</v>
      </c>
      <c r="B820" s="29">
        <f>MONTH(W_カレンダー[[#This Row],[日付]])</f>
        <v>6</v>
      </c>
      <c r="C820" s="1">
        <f>YEAR(W_カレンダー[[#This Row],[日付]])</f>
        <v>2025</v>
      </c>
      <c r="D820" s="1">
        <f>IF(W_カレンダー[[#This Row],[月]]&lt;=3,W_カレンダー[[#This Row],[暦年]]-1,W_カレンダー[[#This Row],[暦年]])</f>
        <v>2025</v>
      </c>
      <c r="E820" s="1" t="str">
        <f>IF(W_カレンダー[[#This Row],[月]]&lt;=3,"Q4",IF(W_カレンダー[[#This Row],[月]]&lt;=6,"Q1",IF(W_カレンダー[[#This Row],[月]]&lt;=9,"Q2","Q3")))</f>
        <v>Q1</v>
      </c>
    </row>
    <row r="821" spans="1:5" ht="18" customHeight="1" x14ac:dyDescent="0.25">
      <c r="A821" s="27">
        <v>45836</v>
      </c>
      <c r="B821" s="29">
        <f>MONTH(W_カレンダー[[#This Row],[日付]])</f>
        <v>6</v>
      </c>
      <c r="C821" s="1">
        <f>YEAR(W_カレンダー[[#This Row],[日付]])</f>
        <v>2025</v>
      </c>
      <c r="D821" s="1">
        <f>IF(W_カレンダー[[#This Row],[月]]&lt;=3,W_カレンダー[[#This Row],[暦年]]-1,W_カレンダー[[#This Row],[暦年]])</f>
        <v>2025</v>
      </c>
      <c r="E821" s="1" t="str">
        <f>IF(W_カレンダー[[#This Row],[月]]&lt;=3,"Q4",IF(W_カレンダー[[#This Row],[月]]&lt;=6,"Q1",IF(W_カレンダー[[#This Row],[月]]&lt;=9,"Q2","Q3")))</f>
        <v>Q1</v>
      </c>
    </row>
    <row r="822" spans="1:5" ht="18" customHeight="1" x14ac:dyDescent="0.25">
      <c r="A822" s="27">
        <v>45837</v>
      </c>
      <c r="B822" s="29">
        <f>MONTH(W_カレンダー[[#This Row],[日付]])</f>
        <v>6</v>
      </c>
      <c r="C822" s="1">
        <f>YEAR(W_カレンダー[[#This Row],[日付]])</f>
        <v>2025</v>
      </c>
      <c r="D822" s="1">
        <f>IF(W_カレンダー[[#This Row],[月]]&lt;=3,W_カレンダー[[#This Row],[暦年]]-1,W_カレンダー[[#This Row],[暦年]])</f>
        <v>2025</v>
      </c>
      <c r="E822" s="1" t="str">
        <f>IF(W_カレンダー[[#This Row],[月]]&lt;=3,"Q4",IF(W_カレンダー[[#This Row],[月]]&lt;=6,"Q1",IF(W_カレンダー[[#This Row],[月]]&lt;=9,"Q2","Q3")))</f>
        <v>Q1</v>
      </c>
    </row>
    <row r="823" spans="1:5" ht="18" customHeight="1" x14ac:dyDescent="0.25">
      <c r="A823" s="27">
        <v>45838</v>
      </c>
      <c r="B823" s="29">
        <f>MONTH(W_カレンダー[[#This Row],[日付]])</f>
        <v>6</v>
      </c>
      <c r="C823" s="1">
        <f>YEAR(W_カレンダー[[#This Row],[日付]])</f>
        <v>2025</v>
      </c>
      <c r="D823" s="1">
        <f>IF(W_カレンダー[[#This Row],[月]]&lt;=3,W_カレンダー[[#This Row],[暦年]]-1,W_カレンダー[[#This Row],[暦年]])</f>
        <v>2025</v>
      </c>
      <c r="E823" s="1" t="str">
        <f>IF(W_カレンダー[[#This Row],[月]]&lt;=3,"Q4",IF(W_カレンダー[[#This Row],[月]]&lt;=6,"Q1",IF(W_カレンダー[[#This Row],[月]]&lt;=9,"Q2","Q3")))</f>
        <v>Q1</v>
      </c>
    </row>
    <row r="824" spans="1:5" ht="18" customHeight="1" x14ac:dyDescent="0.25">
      <c r="A824" s="27">
        <v>45839</v>
      </c>
      <c r="B824" s="29">
        <f>MONTH(W_カレンダー[[#This Row],[日付]])</f>
        <v>7</v>
      </c>
      <c r="C824" s="1">
        <f>YEAR(W_カレンダー[[#This Row],[日付]])</f>
        <v>2025</v>
      </c>
      <c r="D824" s="1">
        <f>IF(W_カレンダー[[#This Row],[月]]&lt;=3,W_カレンダー[[#This Row],[暦年]]-1,W_カレンダー[[#This Row],[暦年]])</f>
        <v>2025</v>
      </c>
      <c r="E824" s="1" t="str">
        <f>IF(W_カレンダー[[#This Row],[月]]&lt;=3,"Q4",IF(W_カレンダー[[#This Row],[月]]&lt;=6,"Q1",IF(W_カレンダー[[#This Row],[月]]&lt;=9,"Q2","Q3")))</f>
        <v>Q2</v>
      </c>
    </row>
    <row r="825" spans="1:5" ht="18" customHeight="1" x14ac:dyDescent="0.25">
      <c r="A825" s="27">
        <v>45840</v>
      </c>
      <c r="B825" s="29">
        <f>MONTH(W_カレンダー[[#This Row],[日付]])</f>
        <v>7</v>
      </c>
      <c r="C825" s="1">
        <f>YEAR(W_カレンダー[[#This Row],[日付]])</f>
        <v>2025</v>
      </c>
      <c r="D825" s="1">
        <f>IF(W_カレンダー[[#This Row],[月]]&lt;=3,W_カレンダー[[#This Row],[暦年]]-1,W_カレンダー[[#This Row],[暦年]])</f>
        <v>2025</v>
      </c>
      <c r="E825" s="1" t="str">
        <f>IF(W_カレンダー[[#This Row],[月]]&lt;=3,"Q4",IF(W_カレンダー[[#This Row],[月]]&lt;=6,"Q1",IF(W_カレンダー[[#This Row],[月]]&lt;=9,"Q2","Q3")))</f>
        <v>Q2</v>
      </c>
    </row>
    <row r="826" spans="1:5" ht="18" customHeight="1" x14ac:dyDescent="0.25">
      <c r="A826" s="27">
        <v>45841</v>
      </c>
      <c r="B826" s="29">
        <f>MONTH(W_カレンダー[[#This Row],[日付]])</f>
        <v>7</v>
      </c>
      <c r="C826" s="1">
        <f>YEAR(W_カレンダー[[#This Row],[日付]])</f>
        <v>2025</v>
      </c>
      <c r="D826" s="1">
        <f>IF(W_カレンダー[[#This Row],[月]]&lt;=3,W_カレンダー[[#This Row],[暦年]]-1,W_カレンダー[[#This Row],[暦年]])</f>
        <v>2025</v>
      </c>
      <c r="E826" s="1" t="str">
        <f>IF(W_カレンダー[[#This Row],[月]]&lt;=3,"Q4",IF(W_カレンダー[[#This Row],[月]]&lt;=6,"Q1",IF(W_カレンダー[[#This Row],[月]]&lt;=9,"Q2","Q3")))</f>
        <v>Q2</v>
      </c>
    </row>
    <row r="827" spans="1:5" ht="18" customHeight="1" x14ac:dyDescent="0.25">
      <c r="A827" s="27">
        <v>45842</v>
      </c>
      <c r="B827" s="29">
        <f>MONTH(W_カレンダー[[#This Row],[日付]])</f>
        <v>7</v>
      </c>
      <c r="C827" s="1">
        <f>YEAR(W_カレンダー[[#This Row],[日付]])</f>
        <v>2025</v>
      </c>
      <c r="D827" s="1">
        <f>IF(W_カレンダー[[#This Row],[月]]&lt;=3,W_カレンダー[[#This Row],[暦年]]-1,W_カレンダー[[#This Row],[暦年]])</f>
        <v>2025</v>
      </c>
      <c r="E827" s="1" t="str">
        <f>IF(W_カレンダー[[#This Row],[月]]&lt;=3,"Q4",IF(W_カレンダー[[#This Row],[月]]&lt;=6,"Q1",IF(W_カレンダー[[#This Row],[月]]&lt;=9,"Q2","Q3")))</f>
        <v>Q2</v>
      </c>
    </row>
    <row r="828" spans="1:5" ht="18" customHeight="1" x14ac:dyDescent="0.25">
      <c r="A828" s="27">
        <v>45843</v>
      </c>
      <c r="B828" s="29">
        <f>MONTH(W_カレンダー[[#This Row],[日付]])</f>
        <v>7</v>
      </c>
      <c r="C828" s="1">
        <f>YEAR(W_カレンダー[[#This Row],[日付]])</f>
        <v>2025</v>
      </c>
      <c r="D828" s="1">
        <f>IF(W_カレンダー[[#This Row],[月]]&lt;=3,W_カレンダー[[#This Row],[暦年]]-1,W_カレンダー[[#This Row],[暦年]])</f>
        <v>2025</v>
      </c>
      <c r="E828" s="1" t="str">
        <f>IF(W_カレンダー[[#This Row],[月]]&lt;=3,"Q4",IF(W_カレンダー[[#This Row],[月]]&lt;=6,"Q1",IF(W_カレンダー[[#This Row],[月]]&lt;=9,"Q2","Q3")))</f>
        <v>Q2</v>
      </c>
    </row>
    <row r="829" spans="1:5" ht="18" customHeight="1" x14ac:dyDescent="0.25">
      <c r="A829" s="27">
        <v>45844</v>
      </c>
      <c r="B829" s="29">
        <f>MONTH(W_カレンダー[[#This Row],[日付]])</f>
        <v>7</v>
      </c>
      <c r="C829" s="1">
        <f>YEAR(W_カレンダー[[#This Row],[日付]])</f>
        <v>2025</v>
      </c>
      <c r="D829" s="1">
        <f>IF(W_カレンダー[[#This Row],[月]]&lt;=3,W_カレンダー[[#This Row],[暦年]]-1,W_カレンダー[[#This Row],[暦年]])</f>
        <v>2025</v>
      </c>
      <c r="E829" s="1" t="str">
        <f>IF(W_カレンダー[[#This Row],[月]]&lt;=3,"Q4",IF(W_カレンダー[[#This Row],[月]]&lt;=6,"Q1",IF(W_カレンダー[[#This Row],[月]]&lt;=9,"Q2","Q3")))</f>
        <v>Q2</v>
      </c>
    </row>
    <row r="830" spans="1:5" ht="18" customHeight="1" x14ac:dyDescent="0.25">
      <c r="A830" s="27">
        <v>45845</v>
      </c>
      <c r="B830" s="29">
        <f>MONTH(W_カレンダー[[#This Row],[日付]])</f>
        <v>7</v>
      </c>
      <c r="C830" s="1">
        <f>YEAR(W_カレンダー[[#This Row],[日付]])</f>
        <v>2025</v>
      </c>
      <c r="D830" s="1">
        <f>IF(W_カレンダー[[#This Row],[月]]&lt;=3,W_カレンダー[[#This Row],[暦年]]-1,W_カレンダー[[#This Row],[暦年]])</f>
        <v>2025</v>
      </c>
      <c r="E830" s="1" t="str">
        <f>IF(W_カレンダー[[#This Row],[月]]&lt;=3,"Q4",IF(W_カレンダー[[#This Row],[月]]&lt;=6,"Q1",IF(W_カレンダー[[#This Row],[月]]&lt;=9,"Q2","Q3")))</f>
        <v>Q2</v>
      </c>
    </row>
    <row r="831" spans="1:5" ht="18" customHeight="1" x14ac:dyDescent="0.25">
      <c r="A831" s="27">
        <v>45846</v>
      </c>
      <c r="B831" s="29">
        <f>MONTH(W_カレンダー[[#This Row],[日付]])</f>
        <v>7</v>
      </c>
      <c r="C831" s="1">
        <f>YEAR(W_カレンダー[[#This Row],[日付]])</f>
        <v>2025</v>
      </c>
      <c r="D831" s="1">
        <f>IF(W_カレンダー[[#This Row],[月]]&lt;=3,W_カレンダー[[#This Row],[暦年]]-1,W_カレンダー[[#This Row],[暦年]])</f>
        <v>2025</v>
      </c>
      <c r="E831" s="1" t="str">
        <f>IF(W_カレンダー[[#This Row],[月]]&lt;=3,"Q4",IF(W_カレンダー[[#This Row],[月]]&lt;=6,"Q1",IF(W_カレンダー[[#This Row],[月]]&lt;=9,"Q2","Q3")))</f>
        <v>Q2</v>
      </c>
    </row>
    <row r="832" spans="1:5" ht="18" customHeight="1" x14ac:dyDescent="0.25">
      <c r="A832" s="27">
        <v>45847</v>
      </c>
      <c r="B832" s="29">
        <f>MONTH(W_カレンダー[[#This Row],[日付]])</f>
        <v>7</v>
      </c>
      <c r="C832" s="1">
        <f>YEAR(W_カレンダー[[#This Row],[日付]])</f>
        <v>2025</v>
      </c>
      <c r="D832" s="1">
        <f>IF(W_カレンダー[[#This Row],[月]]&lt;=3,W_カレンダー[[#This Row],[暦年]]-1,W_カレンダー[[#This Row],[暦年]])</f>
        <v>2025</v>
      </c>
      <c r="E832" s="1" t="str">
        <f>IF(W_カレンダー[[#This Row],[月]]&lt;=3,"Q4",IF(W_カレンダー[[#This Row],[月]]&lt;=6,"Q1",IF(W_カレンダー[[#This Row],[月]]&lt;=9,"Q2","Q3")))</f>
        <v>Q2</v>
      </c>
    </row>
    <row r="833" spans="1:5" ht="18" customHeight="1" x14ac:dyDescent="0.25">
      <c r="A833" s="27">
        <v>45848</v>
      </c>
      <c r="B833" s="29">
        <f>MONTH(W_カレンダー[[#This Row],[日付]])</f>
        <v>7</v>
      </c>
      <c r="C833" s="1">
        <f>YEAR(W_カレンダー[[#This Row],[日付]])</f>
        <v>2025</v>
      </c>
      <c r="D833" s="1">
        <f>IF(W_カレンダー[[#This Row],[月]]&lt;=3,W_カレンダー[[#This Row],[暦年]]-1,W_カレンダー[[#This Row],[暦年]])</f>
        <v>2025</v>
      </c>
      <c r="E833" s="1" t="str">
        <f>IF(W_カレンダー[[#This Row],[月]]&lt;=3,"Q4",IF(W_カレンダー[[#This Row],[月]]&lt;=6,"Q1",IF(W_カレンダー[[#This Row],[月]]&lt;=9,"Q2","Q3")))</f>
        <v>Q2</v>
      </c>
    </row>
    <row r="834" spans="1:5" ht="18" customHeight="1" x14ac:dyDescent="0.25">
      <c r="A834" s="27">
        <v>45849</v>
      </c>
      <c r="B834" s="29">
        <f>MONTH(W_カレンダー[[#This Row],[日付]])</f>
        <v>7</v>
      </c>
      <c r="C834" s="1">
        <f>YEAR(W_カレンダー[[#This Row],[日付]])</f>
        <v>2025</v>
      </c>
      <c r="D834" s="1">
        <f>IF(W_カレンダー[[#This Row],[月]]&lt;=3,W_カレンダー[[#This Row],[暦年]]-1,W_カレンダー[[#This Row],[暦年]])</f>
        <v>2025</v>
      </c>
      <c r="E834" s="1" t="str">
        <f>IF(W_カレンダー[[#This Row],[月]]&lt;=3,"Q4",IF(W_カレンダー[[#This Row],[月]]&lt;=6,"Q1",IF(W_カレンダー[[#This Row],[月]]&lt;=9,"Q2","Q3")))</f>
        <v>Q2</v>
      </c>
    </row>
    <row r="835" spans="1:5" ht="18" customHeight="1" x14ac:dyDescent="0.25">
      <c r="A835" s="27">
        <v>45850</v>
      </c>
      <c r="B835" s="29">
        <f>MONTH(W_カレンダー[[#This Row],[日付]])</f>
        <v>7</v>
      </c>
      <c r="C835" s="1">
        <f>YEAR(W_カレンダー[[#This Row],[日付]])</f>
        <v>2025</v>
      </c>
      <c r="D835" s="1">
        <f>IF(W_カレンダー[[#This Row],[月]]&lt;=3,W_カレンダー[[#This Row],[暦年]]-1,W_カレンダー[[#This Row],[暦年]])</f>
        <v>2025</v>
      </c>
      <c r="E835" s="1" t="str">
        <f>IF(W_カレンダー[[#This Row],[月]]&lt;=3,"Q4",IF(W_カレンダー[[#This Row],[月]]&lt;=6,"Q1",IF(W_カレンダー[[#This Row],[月]]&lt;=9,"Q2","Q3")))</f>
        <v>Q2</v>
      </c>
    </row>
    <row r="836" spans="1:5" ht="18" customHeight="1" x14ac:dyDescent="0.25">
      <c r="A836" s="27">
        <v>45851</v>
      </c>
      <c r="B836" s="29">
        <f>MONTH(W_カレンダー[[#This Row],[日付]])</f>
        <v>7</v>
      </c>
      <c r="C836" s="1">
        <f>YEAR(W_カレンダー[[#This Row],[日付]])</f>
        <v>2025</v>
      </c>
      <c r="D836" s="1">
        <f>IF(W_カレンダー[[#This Row],[月]]&lt;=3,W_カレンダー[[#This Row],[暦年]]-1,W_カレンダー[[#This Row],[暦年]])</f>
        <v>2025</v>
      </c>
      <c r="E836" s="1" t="str">
        <f>IF(W_カレンダー[[#This Row],[月]]&lt;=3,"Q4",IF(W_カレンダー[[#This Row],[月]]&lt;=6,"Q1",IF(W_カレンダー[[#This Row],[月]]&lt;=9,"Q2","Q3")))</f>
        <v>Q2</v>
      </c>
    </row>
    <row r="837" spans="1:5" ht="18" customHeight="1" x14ac:dyDescent="0.25">
      <c r="A837" s="27">
        <v>45852</v>
      </c>
      <c r="B837" s="29">
        <f>MONTH(W_カレンダー[[#This Row],[日付]])</f>
        <v>7</v>
      </c>
      <c r="C837" s="1">
        <f>YEAR(W_カレンダー[[#This Row],[日付]])</f>
        <v>2025</v>
      </c>
      <c r="D837" s="1">
        <f>IF(W_カレンダー[[#This Row],[月]]&lt;=3,W_カレンダー[[#This Row],[暦年]]-1,W_カレンダー[[#This Row],[暦年]])</f>
        <v>2025</v>
      </c>
      <c r="E837" s="1" t="str">
        <f>IF(W_カレンダー[[#This Row],[月]]&lt;=3,"Q4",IF(W_カレンダー[[#This Row],[月]]&lt;=6,"Q1",IF(W_カレンダー[[#This Row],[月]]&lt;=9,"Q2","Q3")))</f>
        <v>Q2</v>
      </c>
    </row>
    <row r="838" spans="1:5" ht="18" customHeight="1" x14ac:dyDescent="0.25">
      <c r="A838" s="27">
        <v>45853</v>
      </c>
      <c r="B838" s="29">
        <f>MONTH(W_カレンダー[[#This Row],[日付]])</f>
        <v>7</v>
      </c>
      <c r="C838" s="1">
        <f>YEAR(W_カレンダー[[#This Row],[日付]])</f>
        <v>2025</v>
      </c>
      <c r="D838" s="1">
        <f>IF(W_カレンダー[[#This Row],[月]]&lt;=3,W_カレンダー[[#This Row],[暦年]]-1,W_カレンダー[[#This Row],[暦年]])</f>
        <v>2025</v>
      </c>
      <c r="E838" s="1" t="str">
        <f>IF(W_カレンダー[[#This Row],[月]]&lt;=3,"Q4",IF(W_カレンダー[[#This Row],[月]]&lt;=6,"Q1",IF(W_カレンダー[[#This Row],[月]]&lt;=9,"Q2","Q3")))</f>
        <v>Q2</v>
      </c>
    </row>
    <row r="839" spans="1:5" ht="18" customHeight="1" x14ac:dyDescent="0.25">
      <c r="A839" s="27">
        <v>45854</v>
      </c>
      <c r="B839" s="29">
        <f>MONTH(W_カレンダー[[#This Row],[日付]])</f>
        <v>7</v>
      </c>
      <c r="C839" s="1">
        <f>YEAR(W_カレンダー[[#This Row],[日付]])</f>
        <v>2025</v>
      </c>
      <c r="D839" s="1">
        <f>IF(W_カレンダー[[#This Row],[月]]&lt;=3,W_カレンダー[[#This Row],[暦年]]-1,W_カレンダー[[#This Row],[暦年]])</f>
        <v>2025</v>
      </c>
      <c r="E839" s="1" t="str">
        <f>IF(W_カレンダー[[#This Row],[月]]&lt;=3,"Q4",IF(W_カレンダー[[#This Row],[月]]&lt;=6,"Q1",IF(W_カレンダー[[#This Row],[月]]&lt;=9,"Q2","Q3")))</f>
        <v>Q2</v>
      </c>
    </row>
    <row r="840" spans="1:5" ht="18" customHeight="1" x14ac:dyDescent="0.25">
      <c r="A840" s="27">
        <v>45855</v>
      </c>
      <c r="B840" s="29">
        <f>MONTH(W_カレンダー[[#This Row],[日付]])</f>
        <v>7</v>
      </c>
      <c r="C840" s="1">
        <f>YEAR(W_カレンダー[[#This Row],[日付]])</f>
        <v>2025</v>
      </c>
      <c r="D840" s="1">
        <f>IF(W_カレンダー[[#This Row],[月]]&lt;=3,W_カレンダー[[#This Row],[暦年]]-1,W_カレンダー[[#This Row],[暦年]])</f>
        <v>2025</v>
      </c>
      <c r="E840" s="1" t="str">
        <f>IF(W_カレンダー[[#This Row],[月]]&lt;=3,"Q4",IF(W_カレンダー[[#This Row],[月]]&lt;=6,"Q1",IF(W_カレンダー[[#This Row],[月]]&lt;=9,"Q2","Q3")))</f>
        <v>Q2</v>
      </c>
    </row>
    <row r="841" spans="1:5" ht="18" customHeight="1" x14ac:dyDescent="0.25">
      <c r="A841" s="27">
        <v>45856</v>
      </c>
      <c r="B841" s="29">
        <f>MONTH(W_カレンダー[[#This Row],[日付]])</f>
        <v>7</v>
      </c>
      <c r="C841" s="1">
        <f>YEAR(W_カレンダー[[#This Row],[日付]])</f>
        <v>2025</v>
      </c>
      <c r="D841" s="1">
        <f>IF(W_カレンダー[[#This Row],[月]]&lt;=3,W_カレンダー[[#This Row],[暦年]]-1,W_カレンダー[[#This Row],[暦年]])</f>
        <v>2025</v>
      </c>
      <c r="E841" s="1" t="str">
        <f>IF(W_カレンダー[[#This Row],[月]]&lt;=3,"Q4",IF(W_カレンダー[[#This Row],[月]]&lt;=6,"Q1",IF(W_カレンダー[[#This Row],[月]]&lt;=9,"Q2","Q3")))</f>
        <v>Q2</v>
      </c>
    </row>
    <row r="842" spans="1:5" ht="18" customHeight="1" x14ac:dyDescent="0.25">
      <c r="A842" s="27">
        <v>45857</v>
      </c>
      <c r="B842" s="29">
        <f>MONTH(W_カレンダー[[#This Row],[日付]])</f>
        <v>7</v>
      </c>
      <c r="C842" s="1">
        <f>YEAR(W_カレンダー[[#This Row],[日付]])</f>
        <v>2025</v>
      </c>
      <c r="D842" s="1">
        <f>IF(W_カレンダー[[#This Row],[月]]&lt;=3,W_カレンダー[[#This Row],[暦年]]-1,W_カレンダー[[#This Row],[暦年]])</f>
        <v>2025</v>
      </c>
      <c r="E842" s="1" t="str">
        <f>IF(W_カレンダー[[#This Row],[月]]&lt;=3,"Q4",IF(W_カレンダー[[#This Row],[月]]&lt;=6,"Q1",IF(W_カレンダー[[#This Row],[月]]&lt;=9,"Q2","Q3")))</f>
        <v>Q2</v>
      </c>
    </row>
    <row r="843" spans="1:5" ht="18" customHeight="1" x14ac:dyDescent="0.25">
      <c r="A843" s="27">
        <v>45858</v>
      </c>
      <c r="B843" s="29">
        <f>MONTH(W_カレンダー[[#This Row],[日付]])</f>
        <v>7</v>
      </c>
      <c r="C843" s="1">
        <f>YEAR(W_カレンダー[[#This Row],[日付]])</f>
        <v>2025</v>
      </c>
      <c r="D843" s="1">
        <f>IF(W_カレンダー[[#This Row],[月]]&lt;=3,W_カレンダー[[#This Row],[暦年]]-1,W_カレンダー[[#This Row],[暦年]])</f>
        <v>2025</v>
      </c>
      <c r="E843" s="1" t="str">
        <f>IF(W_カレンダー[[#This Row],[月]]&lt;=3,"Q4",IF(W_カレンダー[[#This Row],[月]]&lt;=6,"Q1",IF(W_カレンダー[[#This Row],[月]]&lt;=9,"Q2","Q3")))</f>
        <v>Q2</v>
      </c>
    </row>
    <row r="844" spans="1:5" ht="18" customHeight="1" x14ac:dyDescent="0.25">
      <c r="A844" s="27">
        <v>45859</v>
      </c>
      <c r="B844" s="29">
        <f>MONTH(W_カレンダー[[#This Row],[日付]])</f>
        <v>7</v>
      </c>
      <c r="C844" s="1">
        <f>YEAR(W_カレンダー[[#This Row],[日付]])</f>
        <v>2025</v>
      </c>
      <c r="D844" s="1">
        <f>IF(W_カレンダー[[#This Row],[月]]&lt;=3,W_カレンダー[[#This Row],[暦年]]-1,W_カレンダー[[#This Row],[暦年]])</f>
        <v>2025</v>
      </c>
      <c r="E844" s="1" t="str">
        <f>IF(W_カレンダー[[#This Row],[月]]&lt;=3,"Q4",IF(W_カレンダー[[#This Row],[月]]&lt;=6,"Q1",IF(W_カレンダー[[#This Row],[月]]&lt;=9,"Q2","Q3")))</f>
        <v>Q2</v>
      </c>
    </row>
    <row r="845" spans="1:5" ht="18" customHeight="1" x14ac:dyDescent="0.25">
      <c r="A845" s="27">
        <v>45860</v>
      </c>
      <c r="B845" s="29">
        <f>MONTH(W_カレンダー[[#This Row],[日付]])</f>
        <v>7</v>
      </c>
      <c r="C845" s="1">
        <f>YEAR(W_カレンダー[[#This Row],[日付]])</f>
        <v>2025</v>
      </c>
      <c r="D845" s="1">
        <f>IF(W_カレンダー[[#This Row],[月]]&lt;=3,W_カレンダー[[#This Row],[暦年]]-1,W_カレンダー[[#This Row],[暦年]])</f>
        <v>2025</v>
      </c>
      <c r="E845" s="1" t="str">
        <f>IF(W_カレンダー[[#This Row],[月]]&lt;=3,"Q4",IF(W_カレンダー[[#This Row],[月]]&lt;=6,"Q1",IF(W_カレンダー[[#This Row],[月]]&lt;=9,"Q2","Q3")))</f>
        <v>Q2</v>
      </c>
    </row>
    <row r="846" spans="1:5" ht="18" customHeight="1" x14ac:dyDescent="0.25">
      <c r="A846" s="27">
        <v>45861</v>
      </c>
      <c r="B846" s="29">
        <f>MONTH(W_カレンダー[[#This Row],[日付]])</f>
        <v>7</v>
      </c>
      <c r="C846" s="1">
        <f>YEAR(W_カレンダー[[#This Row],[日付]])</f>
        <v>2025</v>
      </c>
      <c r="D846" s="1">
        <f>IF(W_カレンダー[[#This Row],[月]]&lt;=3,W_カレンダー[[#This Row],[暦年]]-1,W_カレンダー[[#This Row],[暦年]])</f>
        <v>2025</v>
      </c>
      <c r="E846" s="1" t="str">
        <f>IF(W_カレンダー[[#This Row],[月]]&lt;=3,"Q4",IF(W_カレンダー[[#This Row],[月]]&lt;=6,"Q1",IF(W_カレンダー[[#This Row],[月]]&lt;=9,"Q2","Q3")))</f>
        <v>Q2</v>
      </c>
    </row>
    <row r="847" spans="1:5" ht="18" customHeight="1" x14ac:dyDescent="0.25">
      <c r="A847" s="27">
        <v>45862</v>
      </c>
      <c r="B847" s="29">
        <f>MONTH(W_カレンダー[[#This Row],[日付]])</f>
        <v>7</v>
      </c>
      <c r="C847" s="1">
        <f>YEAR(W_カレンダー[[#This Row],[日付]])</f>
        <v>2025</v>
      </c>
      <c r="D847" s="1">
        <f>IF(W_カレンダー[[#This Row],[月]]&lt;=3,W_カレンダー[[#This Row],[暦年]]-1,W_カレンダー[[#This Row],[暦年]])</f>
        <v>2025</v>
      </c>
      <c r="E847" s="1" t="str">
        <f>IF(W_カレンダー[[#This Row],[月]]&lt;=3,"Q4",IF(W_カレンダー[[#This Row],[月]]&lt;=6,"Q1",IF(W_カレンダー[[#This Row],[月]]&lt;=9,"Q2","Q3")))</f>
        <v>Q2</v>
      </c>
    </row>
    <row r="848" spans="1:5" ht="18" customHeight="1" x14ac:dyDescent="0.25">
      <c r="A848" s="27">
        <v>45863</v>
      </c>
      <c r="B848" s="29">
        <f>MONTH(W_カレンダー[[#This Row],[日付]])</f>
        <v>7</v>
      </c>
      <c r="C848" s="1">
        <f>YEAR(W_カレンダー[[#This Row],[日付]])</f>
        <v>2025</v>
      </c>
      <c r="D848" s="1">
        <f>IF(W_カレンダー[[#This Row],[月]]&lt;=3,W_カレンダー[[#This Row],[暦年]]-1,W_カレンダー[[#This Row],[暦年]])</f>
        <v>2025</v>
      </c>
      <c r="E848" s="1" t="str">
        <f>IF(W_カレンダー[[#This Row],[月]]&lt;=3,"Q4",IF(W_カレンダー[[#This Row],[月]]&lt;=6,"Q1",IF(W_カレンダー[[#This Row],[月]]&lt;=9,"Q2","Q3")))</f>
        <v>Q2</v>
      </c>
    </row>
    <row r="849" spans="1:5" ht="18" customHeight="1" x14ac:dyDescent="0.25">
      <c r="A849" s="27">
        <v>45864</v>
      </c>
      <c r="B849" s="29">
        <f>MONTH(W_カレンダー[[#This Row],[日付]])</f>
        <v>7</v>
      </c>
      <c r="C849" s="1">
        <f>YEAR(W_カレンダー[[#This Row],[日付]])</f>
        <v>2025</v>
      </c>
      <c r="D849" s="1">
        <f>IF(W_カレンダー[[#This Row],[月]]&lt;=3,W_カレンダー[[#This Row],[暦年]]-1,W_カレンダー[[#This Row],[暦年]])</f>
        <v>2025</v>
      </c>
      <c r="E849" s="1" t="str">
        <f>IF(W_カレンダー[[#This Row],[月]]&lt;=3,"Q4",IF(W_カレンダー[[#This Row],[月]]&lt;=6,"Q1",IF(W_カレンダー[[#This Row],[月]]&lt;=9,"Q2","Q3")))</f>
        <v>Q2</v>
      </c>
    </row>
    <row r="850" spans="1:5" ht="18" customHeight="1" x14ac:dyDescent="0.25">
      <c r="A850" s="27">
        <v>45865</v>
      </c>
      <c r="B850" s="29">
        <f>MONTH(W_カレンダー[[#This Row],[日付]])</f>
        <v>7</v>
      </c>
      <c r="C850" s="1">
        <f>YEAR(W_カレンダー[[#This Row],[日付]])</f>
        <v>2025</v>
      </c>
      <c r="D850" s="1">
        <f>IF(W_カレンダー[[#This Row],[月]]&lt;=3,W_カレンダー[[#This Row],[暦年]]-1,W_カレンダー[[#This Row],[暦年]])</f>
        <v>2025</v>
      </c>
      <c r="E850" s="1" t="str">
        <f>IF(W_カレンダー[[#This Row],[月]]&lt;=3,"Q4",IF(W_カレンダー[[#This Row],[月]]&lt;=6,"Q1",IF(W_カレンダー[[#This Row],[月]]&lt;=9,"Q2","Q3")))</f>
        <v>Q2</v>
      </c>
    </row>
    <row r="851" spans="1:5" ht="18" customHeight="1" x14ac:dyDescent="0.25">
      <c r="A851" s="27">
        <v>45866</v>
      </c>
      <c r="B851" s="29">
        <f>MONTH(W_カレンダー[[#This Row],[日付]])</f>
        <v>7</v>
      </c>
      <c r="C851" s="1">
        <f>YEAR(W_カレンダー[[#This Row],[日付]])</f>
        <v>2025</v>
      </c>
      <c r="D851" s="1">
        <f>IF(W_カレンダー[[#This Row],[月]]&lt;=3,W_カレンダー[[#This Row],[暦年]]-1,W_カレンダー[[#This Row],[暦年]])</f>
        <v>2025</v>
      </c>
      <c r="E851" s="1" t="str">
        <f>IF(W_カレンダー[[#This Row],[月]]&lt;=3,"Q4",IF(W_カレンダー[[#This Row],[月]]&lt;=6,"Q1",IF(W_カレンダー[[#This Row],[月]]&lt;=9,"Q2","Q3")))</f>
        <v>Q2</v>
      </c>
    </row>
    <row r="852" spans="1:5" ht="18" customHeight="1" x14ac:dyDescent="0.25">
      <c r="A852" s="27">
        <v>45867</v>
      </c>
      <c r="B852" s="29">
        <f>MONTH(W_カレンダー[[#This Row],[日付]])</f>
        <v>7</v>
      </c>
      <c r="C852" s="1">
        <f>YEAR(W_カレンダー[[#This Row],[日付]])</f>
        <v>2025</v>
      </c>
      <c r="D852" s="1">
        <f>IF(W_カレンダー[[#This Row],[月]]&lt;=3,W_カレンダー[[#This Row],[暦年]]-1,W_カレンダー[[#This Row],[暦年]])</f>
        <v>2025</v>
      </c>
      <c r="E852" s="1" t="str">
        <f>IF(W_カレンダー[[#This Row],[月]]&lt;=3,"Q4",IF(W_カレンダー[[#This Row],[月]]&lt;=6,"Q1",IF(W_カレンダー[[#This Row],[月]]&lt;=9,"Q2","Q3")))</f>
        <v>Q2</v>
      </c>
    </row>
    <row r="853" spans="1:5" ht="18" customHeight="1" x14ac:dyDescent="0.25">
      <c r="A853" s="27">
        <v>45868</v>
      </c>
      <c r="B853" s="29">
        <f>MONTH(W_カレンダー[[#This Row],[日付]])</f>
        <v>7</v>
      </c>
      <c r="C853" s="1">
        <f>YEAR(W_カレンダー[[#This Row],[日付]])</f>
        <v>2025</v>
      </c>
      <c r="D853" s="1">
        <f>IF(W_カレンダー[[#This Row],[月]]&lt;=3,W_カレンダー[[#This Row],[暦年]]-1,W_カレンダー[[#This Row],[暦年]])</f>
        <v>2025</v>
      </c>
      <c r="E853" s="1" t="str">
        <f>IF(W_カレンダー[[#This Row],[月]]&lt;=3,"Q4",IF(W_カレンダー[[#This Row],[月]]&lt;=6,"Q1",IF(W_カレンダー[[#This Row],[月]]&lt;=9,"Q2","Q3")))</f>
        <v>Q2</v>
      </c>
    </row>
    <row r="854" spans="1:5" ht="18" customHeight="1" x14ac:dyDescent="0.25">
      <c r="A854" s="27">
        <v>45869</v>
      </c>
      <c r="B854" s="29">
        <f>MONTH(W_カレンダー[[#This Row],[日付]])</f>
        <v>7</v>
      </c>
      <c r="C854" s="1">
        <f>YEAR(W_カレンダー[[#This Row],[日付]])</f>
        <v>2025</v>
      </c>
      <c r="D854" s="1">
        <f>IF(W_カレンダー[[#This Row],[月]]&lt;=3,W_カレンダー[[#This Row],[暦年]]-1,W_カレンダー[[#This Row],[暦年]])</f>
        <v>2025</v>
      </c>
      <c r="E854" s="1" t="str">
        <f>IF(W_カレンダー[[#This Row],[月]]&lt;=3,"Q4",IF(W_カレンダー[[#This Row],[月]]&lt;=6,"Q1",IF(W_カレンダー[[#This Row],[月]]&lt;=9,"Q2","Q3")))</f>
        <v>Q2</v>
      </c>
    </row>
    <row r="855" spans="1:5" ht="18" customHeight="1" x14ac:dyDescent="0.25">
      <c r="A855" s="27">
        <v>45870</v>
      </c>
      <c r="B855" s="29">
        <f>MONTH(W_カレンダー[[#This Row],[日付]])</f>
        <v>8</v>
      </c>
      <c r="C855" s="1">
        <f>YEAR(W_カレンダー[[#This Row],[日付]])</f>
        <v>2025</v>
      </c>
      <c r="D855" s="1">
        <f>IF(W_カレンダー[[#This Row],[月]]&lt;=3,W_カレンダー[[#This Row],[暦年]]-1,W_カレンダー[[#This Row],[暦年]])</f>
        <v>2025</v>
      </c>
      <c r="E855" s="1" t="str">
        <f>IF(W_カレンダー[[#This Row],[月]]&lt;=3,"Q4",IF(W_カレンダー[[#This Row],[月]]&lt;=6,"Q1",IF(W_カレンダー[[#This Row],[月]]&lt;=9,"Q2","Q3")))</f>
        <v>Q2</v>
      </c>
    </row>
    <row r="856" spans="1:5" ht="18" customHeight="1" x14ac:dyDescent="0.25">
      <c r="A856" s="27">
        <v>45871</v>
      </c>
      <c r="B856" s="29">
        <f>MONTH(W_カレンダー[[#This Row],[日付]])</f>
        <v>8</v>
      </c>
      <c r="C856" s="1">
        <f>YEAR(W_カレンダー[[#This Row],[日付]])</f>
        <v>2025</v>
      </c>
      <c r="D856" s="1">
        <f>IF(W_カレンダー[[#This Row],[月]]&lt;=3,W_カレンダー[[#This Row],[暦年]]-1,W_カレンダー[[#This Row],[暦年]])</f>
        <v>2025</v>
      </c>
      <c r="E856" s="1" t="str">
        <f>IF(W_カレンダー[[#This Row],[月]]&lt;=3,"Q4",IF(W_カレンダー[[#This Row],[月]]&lt;=6,"Q1",IF(W_カレンダー[[#This Row],[月]]&lt;=9,"Q2","Q3")))</f>
        <v>Q2</v>
      </c>
    </row>
    <row r="857" spans="1:5" ht="18" customHeight="1" x14ac:dyDescent="0.25">
      <c r="A857" s="27">
        <v>45872</v>
      </c>
      <c r="B857" s="29">
        <f>MONTH(W_カレンダー[[#This Row],[日付]])</f>
        <v>8</v>
      </c>
      <c r="C857" s="1">
        <f>YEAR(W_カレンダー[[#This Row],[日付]])</f>
        <v>2025</v>
      </c>
      <c r="D857" s="1">
        <f>IF(W_カレンダー[[#This Row],[月]]&lt;=3,W_カレンダー[[#This Row],[暦年]]-1,W_カレンダー[[#This Row],[暦年]])</f>
        <v>2025</v>
      </c>
      <c r="E857" s="1" t="str">
        <f>IF(W_カレンダー[[#This Row],[月]]&lt;=3,"Q4",IF(W_カレンダー[[#This Row],[月]]&lt;=6,"Q1",IF(W_カレンダー[[#This Row],[月]]&lt;=9,"Q2","Q3")))</f>
        <v>Q2</v>
      </c>
    </row>
    <row r="858" spans="1:5" ht="18" customHeight="1" x14ac:dyDescent="0.25">
      <c r="A858" s="27">
        <v>45873</v>
      </c>
      <c r="B858" s="29">
        <f>MONTH(W_カレンダー[[#This Row],[日付]])</f>
        <v>8</v>
      </c>
      <c r="C858" s="1">
        <f>YEAR(W_カレンダー[[#This Row],[日付]])</f>
        <v>2025</v>
      </c>
      <c r="D858" s="1">
        <f>IF(W_カレンダー[[#This Row],[月]]&lt;=3,W_カレンダー[[#This Row],[暦年]]-1,W_カレンダー[[#This Row],[暦年]])</f>
        <v>2025</v>
      </c>
      <c r="E858" s="1" t="str">
        <f>IF(W_カレンダー[[#This Row],[月]]&lt;=3,"Q4",IF(W_カレンダー[[#This Row],[月]]&lt;=6,"Q1",IF(W_カレンダー[[#This Row],[月]]&lt;=9,"Q2","Q3")))</f>
        <v>Q2</v>
      </c>
    </row>
    <row r="859" spans="1:5" ht="18" customHeight="1" x14ac:dyDescent="0.25">
      <c r="A859" s="27">
        <v>45874</v>
      </c>
      <c r="B859" s="29">
        <f>MONTH(W_カレンダー[[#This Row],[日付]])</f>
        <v>8</v>
      </c>
      <c r="C859" s="1">
        <f>YEAR(W_カレンダー[[#This Row],[日付]])</f>
        <v>2025</v>
      </c>
      <c r="D859" s="1">
        <f>IF(W_カレンダー[[#This Row],[月]]&lt;=3,W_カレンダー[[#This Row],[暦年]]-1,W_カレンダー[[#This Row],[暦年]])</f>
        <v>2025</v>
      </c>
      <c r="E859" s="1" t="str">
        <f>IF(W_カレンダー[[#This Row],[月]]&lt;=3,"Q4",IF(W_カレンダー[[#This Row],[月]]&lt;=6,"Q1",IF(W_カレンダー[[#This Row],[月]]&lt;=9,"Q2","Q3")))</f>
        <v>Q2</v>
      </c>
    </row>
    <row r="860" spans="1:5" ht="18" customHeight="1" x14ac:dyDescent="0.25">
      <c r="A860" s="27">
        <v>45875</v>
      </c>
      <c r="B860" s="29">
        <f>MONTH(W_カレンダー[[#This Row],[日付]])</f>
        <v>8</v>
      </c>
      <c r="C860" s="1">
        <f>YEAR(W_カレンダー[[#This Row],[日付]])</f>
        <v>2025</v>
      </c>
      <c r="D860" s="1">
        <f>IF(W_カレンダー[[#This Row],[月]]&lt;=3,W_カレンダー[[#This Row],[暦年]]-1,W_カレンダー[[#This Row],[暦年]])</f>
        <v>2025</v>
      </c>
      <c r="E860" s="1" t="str">
        <f>IF(W_カレンダー[[#This Row],[月]]&lt;=3,"Q4",IF(W_カレンダー[[#This Row],[月]]&lt;=6,"Q1",IF(W_カレンダー[[#This Row],[月]]&lt;=9,"Q2","Q3")))</f>
        <v>Q2</v>
      </c>
    </row>
    <row r="861" spans="1:5" ht="18" customHeight="1" x14ac:dyDescent="0.25">
      <c r="A861" s="27">
        <v>45876</v>
      </c>
      <c r="B861" s="29">
        <f>MONTH(W_カレンダー[[#This Row],[日付]])</f>
        <v>8</v>
      </c>
      <c r="C861" s="1">
        <f>YEAR(W_カレンダー[[#This Row],[日付]])</f>
        <v>2025</v>
      </c>
      <c r="D861" s="1">
        <f>IF(W_カレンダー[[#This Row],[月]]&lt;=3,W_カレンダー[[#This Row],[暦年]]-1,W_カレンダー[[#This Row],[暦年]])</f>
        <v>2025</v>
      </c>
      <c r="E861" s="1" t="str">
        <f>IF(W_カレンダー[[#This Row],[月]]&lt;=3,"Q4",IF(W_カレンダー[[#This Row],[月]]&lt;=6,"Q1",IF(W_カレンダー[[#This Row],[月]]&lt;=9,"Q2","Q3")))</f>
        <v>Q2</v>
      </c>
    </row>
    <row r="862" spans="1:5" ht="18" customHeight="1" x14ac:dyDescent="0.25">
      <c r="A862" s="27">
        <v>45877</v>
      </c>
      <c r="B862" s="29">
        <f>MONTH(W_カレンダー[[#This Row],[日付]])</f>
        <v>8</v>
      </c>
      <c r="C862" s="1">
        <f>YEAR(W_カレンダー[[#This Row],[日付]])</f>
        <v>2025</v>
      </c>
      <c r="D862" s="1">
        <f>IF(W_カレンダー[[#This Row],[月]]&lt;=3,W_カレンダー[[#This Row],[暦年]]-1,W_カレンダー[[#This Row],[暦年]])</f>
        <v>2025</v>
      </c>
      <c r="E862" s="1" t="str">
        <f>IF(W_カレンダー[[#This Row],[月]]&lt;=3,"Q4",IF(W_カレンダー[[#This Row],[月]]&lt;=6,"Q1",IF(W_カレンダー[[#This Row],[月]]&lt;=9,"Q2","Q3")))</f>
        <v>Q2</v>
      </c>
    </row>
    <row r="863" spans="1:5" ht="18" customHeight="1" x14ac:dyDescent="0.25">
      <c r="A863" s="27">
        <v>45878</v>
      </c>
      <c r="B863" s="29">
        <f>MONTH(W_カレンダー[[#This Row],[日付]])</f>
        <v>8</v>
      </c>
      <c r="C863" s="1">
        <f>YEAR(W_カレンダー[[#This Row],[日付]])</f>
        <v>2025</v>
      </c>
      <c r="D863" s="1">
        <f>IF(W_カレンダー[[#This Row],[月]]&lt;=3,W_カレンダー[[#This Row],[暦年]]-1,W_カレンダー[[#This Row],[暦年]])</f>
        <v>2025</v>
      </c>
      <c r="E863" s="1" t="str">
        <f>IF(W_カレンダー[[#This Row],[月]]&lt;=3,"Q4",IF(W_カレンダー[[#This Row],[月]]&lt;=6,"Q1",IF(W_カレンダー[[#This Row],[月]]&lt;=9,"Q2","Q3")))</f>
        <v>Q2</v>
      </c>
    </row>
    <row r="864" spans="1:5" ht="18" customHeight="1" x14ac:dyDescent="0.25">
      <c r="A864" s="27">
        <v>45879</v>
      </c>
      <c r="B864" s="29">
        <f>MONTH(W_カレンダー[[#This Row],[日付]])</f>
        <v>8</v>
      </c>
      <c r="C864" s="1">
        <f>YEAR(W_カレンダー[[#This Row],[日付]])</f>
        <v>2025</v>
      </c>
      <c r="D864" s="1">
        <f>IF(W_カレンダー[[#This Row],[月]]&lt;=3,W_カレンダー[[#This Row],[暦年]]-1,W_カレンダー[[#This Row],[暦年]])</f>
        <v>2025</v>
      </c>
      <c r="E864" s="1" t="str">
        <f>IF(W_カレンダー[[#This Row],[月]]&lt;=3,"Q4",IF(W_カレンダー[[#This Row],[月]]&lt;=6,"Q1",IF(W_カレンダー[[#This Row],[月]]&lt;=9,"Q2","Q3")))</f>
        <v>Q2</v>
      </c>
    </row>
    <row r="865" spans="1:5" ht="18" customHeight="1" x14ac:dyDescent="0.25">
      <c r="A865" s="27">
        <v>45880</v>
      </c>
      <c r="B865" s="29">
        <f>MONTH(W_カレンダー[[#This Row],[日付]])</f>
        <v>8</v>
      </c>
      <c r="C865" s="1">
        <f>YEAR(W_カレンダー[[#This Row],[日付]])</f>
        <v>2025</v>
      </c>
      <c r="D865" s="1">
        <f>IF(W_カレンダー[[#This Row],[月]]&lt;=3,W_カレンダー[[#This Row],[暦年]]-1,W_カレンダー[[#This Row],[暦年]])</f>
        <v>2025</v>
      </c>
      <c r="E865" s="1" t="str">
        <f>IF(W_カレンダー[[#This Row],[月]]&lt;=3,"Q4",IF(W_カレンダー[[#This Row],[月]]&lt;=6,"Q1",IF(W_カレンダー[[#This Row],[月]]&lt;=9,"Q2","Q3")))</f>
        <v>Q2</v>
      </c>
    </row>
    <row r="866" spans="1:5" ht="18" customHeight="1" x14ac:dyDescent="0.25">
      <c r="A866" s="27">
        <v>45881</v>
      </c>
      <c r="B866" s="29">
        <f>MONTH(W_カレンダー[[#This Row],[日付]])</f>
        <v>8</v>
      </c>
      <c r="C866" s="1">
        <f>YEAR(W_カレンダー[[#This Row],[日付]])</f>
        <v>2025</v>
      </c>
      <c r="D866" s="1">
        <f>IF(W_カレンダー[[#This Row],[月]]&lt;=3,W_カレンダー[[#This Row],[暦年]]-1,W_カレンダー[[#This Row],[暦年]])</f>
        <v>2025</v>
      </c>
      <c r="E866" s="1" t="str">
        <f>IF(W_カレンダー[[#This Row],[月]]&lt;=3,"Q4",IF(W_カレンダー[[#This Row],[月]]&lt;=6,"Q1",IF(W_カレンダー[[#This Row],[月]]&lt;=9,"Q2","Q3")))</f>
        <v>Q2</v>
      </c>
    </row>
    <row r="867" spans="1:5" ht="18" customHeight="1" x14ac:dyDescent="0.25">
      <c r="A867" s="27">
        <v>45882</v>
      </c>
      <c r="B867" s="29">
        <f>MONTH(W_カレンダー[[#This Row],[日付]])</f>
        <v>8</v>
      </c>
      <c r="C867" s="1">
        <f>YEAR(W_カレンダー[[#This Row],[日付]])</f>
        <v>2025</v>
      </c>
      <c r="D867" s="1">
        <f>IF(W_カレンダー[[#This Row],[月]]&lt;=3,W_カレンダー[[#This Row],[暦年]]-1,W_カレンダー[[#This Row],[暦年]])</f>
        <v>2025</v>
      </c>
      <c r="E867" s="1" t="str">
        <f>IF(W_カレンダー[[#This Row],[月]]&lt;=3,"Q4",IF(W_カレンダー[[#This Row],[月]]&lt;=6,"Q1",IF(W_カレンダー[[#This Row],[月]]&lt;=9,"Q2","Q3")))</f>
        <v>Q2</v>
      </c>
    </row>
    <row r="868" spans="1:5" ht="18" customHeight="1" x14ac:dyDescent="0.25">
      <c r="A868" s="27">
        <v>45883</v>
      </c>
      <c r="B868" s="29">
        <f>MONTH(W_カレンダー[[#This Row],[日付]])</f>
        <v>8</v>
      </c>
      <c r="C868" s="1">
        <f>YEAR(W_カレンダー[[#This Row],[日付]])</f>
        <v>2025</v>
      </c>
      <c r="D868" s="1">
        <f>IF(W_カレンダー[[#This Row],[月]]&lt;=3,W_カレンダー[[#This Row],[暦年]]-1,W_カレンダー[[#This Row],[暦年]])</f>
        <v>2025</v>
      </c>
      <c r="E868" s="1" t="str">
        <f>IF(W_カレンダー[[#This Row],[月]]&lt;=3,"Q4",IF(W_カレンダー[[#This Row],[月]]&lt;=6,"Q1",IF(W_カレンダー[[#This Row],[月]]&lt;=9,"Q2","Q3")))</f>
        <v>Q2</v>
      </c>
    </row>
    <row r="869" spans="1:5" ht="18" customHeight="1" x14ac:dyDescent="0.25">
      <c r="A869" s="27">
        <v>45884</v>
      </c>
      <c r="B869" s="29">
        <f>MONTH(W_カレンダー[[#This Row],[日付]])</f>
        <v>8</v>
      </c>
      <c r="C869" s="1">
        <f>YEAR(W_カレンダー[[#This Row],[日付]])</f>
        <v>2025</v>
      </c>
      <c r="D869" s="1">
        <f>IF(W_カレンダー[[#This Row],[月]]&lt;=3,W_カレンダー[[#This Row],[暦年]]-1,W_カレンダー[[#This Row],[暦年]])</f>
        <v>2025</v>
      </c>
      <c r="E869" s="1" t="str">
        <f>IF(W_カレンダー[[#This Row],[月]]&lt;=3,"Q4",IF(W_カレンダー[[#This Row],[月]]&lt;=6,"Q1",IF(W_カレンダー[[#This Row],[月]]&lt;=9,"Q2","Q3")))</f>
        <v>Q2</v>
      </c>
    </row>
    <row r="870" spans="1:5" ht="18" customHeight="1" x14ac:dyDescent="0.25">
      <c r="A870" s="27">
        <v>45885</v>
      </c>
      <c r="B870" s="29">
        <f>MONTH(W_カレンダー[[#This Row],[日付]])</f>
        <v>8</v>
      </c>
      <c r="C870" s="1">
        <f>YEAR(W_カレンダー[[#This Row],[日付]])</f>
        <v>2025</v>
      </c>
      <c r="D870" s="1">
        <f>IF(W_カレンダー[[#This Row],[月]]&lt;=3,W_カレンダー[[#This Row],[暦年]]-1,W_カレンダー[[#This Row],[暦年]])</f>
        <v>2025</v>
      </c>
      <c r="E870" s="1" t="str">
        <f>IF(W_カレンダー[[#This Row],[月]]&lt;=3,"Q4",IF(W_カレンダー[[#This Row],[月]]&lt;=6,"Q1",IF(W_カレンダー[[#This Row],[月]]&lt;=9,"Q2","Q3")))</f>
        <v>Q2</v>
      </c>
    </row>
    <row r="871" spans="1:5" ht="18" customHeight="1" x14ac:dyDescent="0.25">
      <c r="A871" s="27">
        <v>45886</v>
      </c>
      <c r="B871" s="29">
        <f>MONTH(W_カレンダー[[#This Row],[日付]])</f>
        <v>8</v>
      </c>
      <c r="C871" s="1">
        <f>YEAR(W_カレンダー[[#This Row],[日付]])</f>
        <v>2025</v>
      </c>
      <c r="D871" s="1">
        <f>IF(W_カレンダー[[#This Row],[月]]&lt;=3,W_カレンダー[[#This Row],[暦年]]-1,W_カレンダー[[#This Row],[暦年]])</f>
        <v>2025</v>
      </c>
      <c r="E871" s="1" t="str">
        <f>IF(W_カレンダー[[#This Row],[月]]&lt;=3,"Q4",IF(W_カレンダー[[#This Row],[月]]&lt;=6,"Q1",IF(W_カレンダー[[#This Row],[月]]&lt;=9,"Q2","Q3")))</f>
        <v>Q2</v>
      </c>
    </row>
    <row r="872" spans="1:5" ht="18" customHeight="1" x14ac:dyDescent="0.25">
      <c r="A872" s="27">
        <v>45887</v>
      </c>
      <c r="B872" s="29">
        <f>MONTH(W_カレンダー[[#This Row],[日付]])</f>
        <v>8</v>
      </c>
      <c r="C872" s="1">
        <f>YEAR(W_カレンダー[[#This Row],[日付]])</f>
        <v>2025</v>
      </c>
      <c r="D872" s="1">
        <f>IF(W_カレンダー[[#This Row],[月]]&lt;=3,W_カレンダー[[#This Row],[暦年]]-1,W_カレンダー[[#This Row],[暦年]])</f>
        <v>2025</v>
      </c>
      <c r="E872" s="1" t="str">
        <f>IF(W_カレンダー[[#This Row],[月]]&lt;=3,"Q4",IF(W_カレンダー[[#This Row],[月]]&lt;=6,"Q1",IF(W_カレンダー[[#This Row],[月]]&lt;=9,"Q2","Q3")))</f>
        <v>Q2</v>
      </c>
    </row>
    <row r="873" spans="1:5" ht="18" customHeight="1" x14ac:dyDescent="0.25">
      <c r="A873" s="27">
        <v>45888</v>
      </c>
      <c r="B873" s="29">
        <f>MONTH(W_カレンダー[[#This Row],[日付]])</f>
        <v>8</v>
      </c>
      <c r="C873" s="1">
        <f>YEAR(W_カレンダー[[#This Row],[日付]])</f>
        <v>2025</v>
      </c>
      <c r="D873" s="1">
        <f>IF(W_カレンダー[[#This Row],[月]]&lt;=3,W_カレンダー[[#This Row],[暦年]]-1,W_カレンダー[[#This Row],[暦年]])</f>
        <v>2025</v>
      </c>
      <c r="E873" s="1" t="str">
        <f>IF(W_カレンダー[[#This Row],[月]]&lt;=3,"Q4",IF(W_カレンダー[[#This Row],[月]]&lt;=6,"Q1",IF(W_カレンダー[[#This Row],[月]]&lt;=9,"Q2","Q3")))</f>
        <v>Q2</v>
      </c>
    </row>
    <row r="874" spans="1:5" ht="18" customHeight="1" x14ac:dyDescent="0.25">
      <c r="A874" s="27">
        <v>45889</v>
      </c>
      <c r="B874" s="29">
        <f>MONTH(W_カレンダー[[#This Row],[日付]])</f>
        <v>8</v>
      </c>
      <c r="C874" s="1">
        <f>YEAR(W_カレンダー[[#This Row],[日付]])</f>
        <v>2025</v>
      </c>
      <c r="D874" s="1">
        <f>IF(W_カレンダー[[#This Row],[月]]&lt;=3,W_カレンダー[[#This Row],[暦年]]-1,W_カレンダー[[#This Row],[暦年]])</f>
        <v>2025</v>
      </c>
      <c r="E874" s="1" t="str">
        <f>IF(W_カレンダー[[#This Row],[月]]&lt;=3,"Q4",IF(W_カレンダー[[#This Row],[月]]&lt;=6,"Q1",IF(W_カレンダー[[#This Row],[月]]&lt;=9,"Q2","Q3")))</f>
        <v>Q2</v>
      </c>
    </row>
    <row r="875" spans="1:5" ht="18" customHeight="1" x14ac:dyDescent="0.25">
      <c r="A875" s="27">
        <v>45890</v>
      </c>
      <c r="B875" s="29">
        <f>MONTH(W_カレンダー[[#This Row],[日付]])</f>
        <v>8</v>
      </c>
      <c r="C875" s="1">
        <f>YEAR(W_カレンダー[[#This Row],[日付]])</f>
        <v>2025</v>
      </c>
      <c r="D875" s="1">
        <f>IF(W_カレンダー[[#This Row],[月]]&lt;=3,W_カレンダー[[#This Row],[暦年]]-1,W_カレンダー[[#This Row],[暦年]])</f>
        <v>2025</v>
      </c>
      <c r="E875" s="1" t="str">
        <f>IF(W_カレンダー[[#This Row],[月]]&lt;=3,"Q4",IF(W_カレンダー[[#This Row],[月]]&lt;=6,"Q1",IF(W_カレンダー[[#This Row],[月]]&lt;=9,"Q2","Q3")))</f>
        <v>Q2</v>
      </c>
    </row>
    <row r="876" spans="1:5" ht="18" customHeight="1" x14ac:dyDescent="0.25">
      <c r="A876" s="27">
        <v>45891</v>
      </c>
      <c r="B876" s="29">
        <f>MONTH(W_カレンダー[[#This Row],[日付]])</f>
        <v>8</v>
      </c>
      <c r="C876" s="1">
        <f>YEAR(W_カレンダー[[#This Row],[日付]])</f>
        <v>2025</v>
      </c>
      <c r="D876" s="1">
        <f>IF(W_カレンダー[[#This Row],[月]]&lt;=3,W_カレンダー[[#This Row],[暦年]]-1,W_カレンダー[[#This Row],[暦年]])</f>
        <v>2025</v>
      </c>
      <c r="E876" s="1" t="str">
        <f>IF(W_カレンダー[[#This Row],[月]]&lt;=3,"Q4",IF(W_カレンダー[[#This Row],[月]]&lt;=6,"Q1",IF(W_カレンダー[[#This Row],[月]]&lt;=9,"Q2","Q3")))</f>
        <v>Q2</v>
      </c>
    </row>
    <row r="877" spans="1:5" ht="18" customHeight="1" x14ac:dyDescent="0.25">
      <c r="A877" s="27">
        <v>45892</v>
      </c>
      <c r="B877" s="29">
        <f>MONTH(W_カレンダー[[#This Row],[日付]])</f>
        <v>8</v>
      </c>
      <c r="C877" s="1">
        <f>YEAR(W_カレンダー[[#This Row],[日付]])</f>
        <v>2025</v>
      </c>
      <c r="D877" s="1">
        <f>IF(W_カレンダー[[#This Row],[月]]&lt;=3,W_カレンダー[[#This Row],[暦年]]-1,W_カレンダー[[#This Row],[暦年]])</f>
        <v>2025</v>
      </c>
      <c r="E877" s="1" t="str">
        <f>IF(W_カレンダー[[#This Row],[月]]&lt;=3,"Q4",IF(W_カレンダー[[#This Row],[月]]&lt;=6,"Q1",IF(W_カレンダー[[#This Row],[月]]&lt;=9,"Q2","Q3")))</f>
        <v>Q2</v>
      </c>
    </row>
    <row r="878" spans="1:5" ht="18" customHeight="1" x14ac:dyDescent="0.25">
      <c r="A878" s="27">
        <v>45893</v>
      </c>
      <c r="B878" s="29">
        <f>MONTH(W_カレンダー[[#This Row],[日付]])</f>
        <v>8</v>
      </c>
      <c r="C878" s="1">
        <f>YEAR(W_カレンダー[[#This Row],[日付]])</f>
        <v>2025</v>
      </c>
      <c r="D878" s="1">
        <f>IF(W_カレンダー[[#This Row],[月]]&lt;=3,W_カレンダー[[#This Row],[暦年]]-1,W_カレンダー[[#This Row],[暦年]])</f>
        <v>2025</v>
      </c>
      <c r="E878" s="1" t="str">
        <f>IF(W_カレンダー[[#This Row],[月]]&lt;=3,"Q4",IF(W_カレンダー[[#This Row],[月]]&lt;=6,"Q1",IF(W_カレンダー[[#This Row],[月]]&lt;=9,"Q2","Q3")))</f>
        <v>Q2</v>
      </c>
    </row>
    <row r="879" spans="1:5" ht="18" customHeight="1" x14ac:dyDescent="0.25">
      <c r="A879" s="27">
        <v>45894</v>
      </c>
      <c r="B879" s="29">
        <f>MONTH(W_カレンダー[[#This Row],[日付]])</f>
        <v>8</v>
      </c>
      <c r="C879" s="1">
        <f>YEAR(W_カレンダー[[#This Row],[日付]])</f>
        <v>2025</v>
      </c>
      <c r="D879" s="1">
        <f>IF(W_カレンダー[[#This Row],[月]]&lt;=3,W_カレンダー[[#This Row],[暦年]]-1,W_カレンダー[[#This Row],[暦年]])</f>
        <v>2025</v>
      </c>
      <c r="E879" s="1" t="str">
        <f>IF(W_カレンダー[[#This Row],[月]]&lt;=3,"Q4",IF(W_カレンダー[[#This Row],[月]]&lt;=6,"Q1",IF(W_カレンダー[[#This Row],[月]]&lt;=9,"Q2","Q3")))</f>
        <v>Q2</v>
      </c>
    </row>
    <row r="880" spans="1:5" ht="18" customHeight="1" x14ac:dyDescent="0.25">
      <c r="A880" s="27">
        <v>45895</v>
      </c>
      <c r="B880" s="29">
        <f>MONTH(W_カレンダー[[#This Row],[日付]])</f>
        <v>8</v>
      </c>
      <c r="C880" s="1">
        <f>YEAR(W_カレンダー[[#This Row],[日付]])</f>
        <v>2025</v>
      </c>
      <c r="D880" s="1">
        <f>IF(W_カレンダー[[#This Row],[月]]&lt;=3,W_カレンダー[[#This Row],[暦年]]-1,W_カレンダー[[#This Row],[暦年]])</f>
        <v>2025</v>
      </c>
      <c r="E880" s="1" t="str">
        <f>IF(W_カレンダー[[#This Row],[月]]&lt;=3,"Q4",IF(W_カレンダー[[#This Row],[月]]&lt;=6,"Q1",IF(W_カレンダー[[#This Row],[月]]&lt;=9,"Q2","Q3")))</f>
        <v>Q2</v>
      </c>
    </row>
    <row r="881" spans="1:5" ht="18" customHeight="1" x14ac:dyDescent="0.25">
      <c r="A881" s="27">
        <v>45896</v>
      </c>
      <c r="B881" s="29">
        <f>MONTH(W_カレンダー[[#This Row],[日付]])</f>
        <v>8</v>
      </c>
      <c r="C881" s="1">
        <f>YEAR(W_カレンダー[[#This Row],[日付]])</f>
        <v>2025</v>
      </c>
      <c r="D881" s="1">
        <f>IF(W_カレンダー[[#This Row],[月]]&lt;=3,W_カレンダー[[#This Row],[暦年]]-1,W_カレンダー[[#This Row],[暦年]])</f>
        <v>2025</v>
      </c>
      <c r="E881" s="1" t="str">
        <f>IF(W_カレンダー[[#This Row],[月]]&lt;=3,"Q4",IF(W_カレンダー[[#This Row],[月]]&lt;=6,"Q1",IF(W_カレンダー[[#This Row],[月]]&lt;=9,"Q2","Q3")))</f>
        <v>Q2</v>
      </c>
    </row>
    <row r="882" spans="1:5" ht="18" customHeight="1" x14ac:dyDescent="0.25">
      <c r="A882" s="27">
        <v>45897</v>
      </c>
      <c r="B882" s="29">
        <f>MONTH(W_カレンダー[[#This Row],[日付]])</f>
        <v>8</v>
      </c>
      <c r="C882" s="1">
        <f>YEAR(W_カレンダー[[#This Row],[日付]])</f>
        <v>2025</v>
      </c>
      <c r="D882" s="1">
        <f>IF(W_カレンダー[[#This Row],[月]]&lt;=3,W_カレンダー[[#This Row],[暦年]]-1,W_カレンダー[[#This Row],[暦年]])</f>
        <v>2025</v>
      </c>
      <c r="E882" s="1" t="str">
        <f>IF(W_カレンダー[[#This Row],[月]]&lt;=3,"Q4",IF(W_カレンダー[[#This Row],[月]]&lt;=6,"Q1",IF(W_カレンダー[[#This Row],[月]]&lt;=9,"Q2","Q3")))</f>
        <v>Q2</v>
      </c>
    </row>
    <row r="883" spans="1:5" ht="18" customHeight="1" x14ac:dyDescent="0.25">
      <c r="A883" s="27">
        <v>45898</v>
      </c>
      <c r="B883" s="29">
        <f>MONTH(W_カレンダー[[#This Row],[日付]])</f>
        <v>8</v>
      </c>
      <c r="C883" s="1">
        <f>YEAR(W_カレンダー[[#This Row],[日付]])</f>
        <v>2025</v>
      </c>
      <c r="D883" s="1">
        <f>IF(W_カレンダー[[#This Row],[月]]&lt;=3,W_カレンダー[[#This Row],[暦年]]-1,W_カレンダー[[#This Row],[暦年]])</f>
        <v>2025</v>
      </c>
      <c r="E883" s="1" t="str">
        <f>IF(W_カレンダー[[#This Row],[月]]&lt;=3,"Q4",IF(W_カレンダー[[#This Row],[月]]&lt;=6,"Q1",IF(W_カレンダー[[#This Row],[月]]&lt;=9,"Q2","Q3")))</f>
        <v>Q2</v>
      </c>
    </row>
    <row r="884" spans="1:5" ht="18" customHeight="1" x14ac:dyDescent="0.25">
      <c r="A884" s="27">
        <v>45899</v>
      </c>
      <c r="B884" s="29">
        <f>MONTH(W_カレンダー[[#This Row],[日付]])</f>
        <v>8</v>
      </c>
      <c r="C884" s="1">
        <f>YEAR(W_カレンダー[[#This Row],[日付]])</f>
        <v>2025</v>
      </c>
      <c r="D884" s="1">
        <f>IF(W_カレンダー[[#This Row],[月]]&lt;=3,W_カレンダー[[#This Row],[暦年]]-1,W_カレンダー[[#This Row],[暦年]])</f>
        <v>2025</v>
      </c>
      <c r="E884" s="1" t="str">
        <f>IF(W_カレンダー[[#This Row],[月]]&lt;=3,"Q4",IF(W_カレンダー[[#This Row],[月]]&lt;=6,"Q1",IF(W_カレンダー[[#This Row],[月]]&lt;=9,"Q2","Q3")))</f>
        <v>Q2</v>
      </c>
    </row>
    <row r="885" spans="1:5" ht="18" customHeight="1" x14ac:dyDescent="0.25">
      <c r="A885" s="27">
        <v>45900</v>
      </c>
      <c r="B885" s="29">
        <f>MONTH(W_カレンダー[[#This Row],[日付]])</f>
        <v>8</v>
      </c>
      <c r="C885" s="1">
        <f>YEAR(W_カレンダー[[#This Row],[日付]])</f>
        <v>2025</v>
      </c>
      <c r="D885" s="1">
        <f>IF(W_カレンダー[[#This Row],[月]]&lt;=3,W_カレンダー[[#This Row],[暦年]]-1,W_カレンダー[[#This Row],[暦年]])</f>
        <v>2025</v>
      </c>
      <c r="E885" s="1" t="str">
        <f>IF(W_カレンダー[[#This Row],[月]]&lt;=3,"Q4",IF(W_カレンダー[[#This Row],[月]]&lt;=6,"Q1",IF(W_カレンダー[[#This Row],[月]]&lt;=9,"Q2","Q3")))</f>
        <v>Q2</v>
      </c>
    </row>
    <row r="886" spans="1:5" ht="18" customHeight="1" x14ac:dyDescent="0.25">
      <c r="A886" s="27">
        <v>45901</v>
      </c>
      <c r="B886" s="29">
        <f>MONTH(W_カレンダー[[#This Row],[日付]])</f>
        <v>9</v>
      </c>
      <c r="C886" s="1">
        <f>YEAR(W_カレンダー[[#This Row],[日付]])</f>
        <v>2025</v>
      </c>
      <c r="D886" s="1">
        <f>IF(W_カレンダー[[#This Row],[月]]&lt;=3,W_カレンダー[[#This Row],[暦年]]-1,W_カレンダー[[#This Row],[暦年]])</f>
        <v>2025</v>
      </c>
      <c r="E886" s="1" t="str">
        <f>IF(W_カレンダー[[#This Row],[月]]&lt;=3,"Q4",IF(W_カレンダー[[#This Row],[月]]&lt;=6,"Q1",IF(W_カレンダー[[#This Row],[月]]&lt;=9,"Q2","Q3")))</f>
        <v>Q2</v>
      </c>
    </row>
    <row r="887" spans="1:5" ht="18" customHeight="1" x14ac:dyDescent="0.25">
      <c r="A887" s="27">
        <v>45902</v>
      </c>
      <c r="B887" s="29">
        <f>MONTH(W_カレンダー[[#This Row],[日付]])</f>
        <v>9</v>
      </c>
      <c r="C887" s="1">
        <f>YEAR(W_カレンダー[[#This Row],[日付]])</f>
        <v>2025</v>
      </c>
      <c r="D887" s="1">
        <f>IF(W_カレンダー[[#This Row],[月]]&lt;=3,W_カレンダー[[#This Row],[暦年]]-1,W_カレンダー[[#This Row],[暦年]])</f>
        <v>2025</v>
      </c>
      <c r="E887" s="1" t="str">
        <f>IF(W_カレンダー[[#This Row],[月]]&lt;=3,"Q4",IF(W_カレンダー[[#This Row],[月]]&lt;=6,"Q1",IF(W_カレンダー[[#This Row],[月]]&lt;=9,"Q2","Q3")))</f>
        <v>Q2</v>
      </c>
    </row>
    <row r="888" spans="1:5" ht="18" customHeight="1" x14ac:dyDescent="0.25">
      <c r="A888" s="27">
        <v>45903</v>
      </c>
      <c r="B888" s="29">
        <f>MONTH(W_カレンダー[[#This Row],[日付]])</f>
        <v>9</v>
      </c>
      <c r="C888" s="1">
        <f>YEAR(W_カレンダー[[#This Row],[日付]])</f>
        <v>2025</v>
      </c>
      <c r="D888" s="1">
        <f>IF(W_カレンダー[[#This Row],[月]]&lt;=3,W_カレンダー[[#This Row],[暦年]]-1,W_カレンダー[[#This Row],[暦年]])</f>
        <v>2025</v>
      </c>
      <c r="E888" s="1" t="str">
        <f>IF(W_カレンダー[[#This Row],[月]]&lt;=3,"Q4",IF(W_カレンダー[[#This Row],[月]]&lt;=6,"Q1",IF(W_カレンダー[[#This Row],[月]]&lt;=9,"Q2","Q3")))</f>
        <v>Q2</v>
      </c>
    </row>
    <row r="889" spans="1:5" ht="18" customHeight="1" x14ac:dyDescent="0.25">
      <c r="A889" s="27">
        <v>45904</v>
      </c>
      <c r="B889" s="29">
        <f>MONTH(W_カレンダー[[#This Row],[日付]])</f>
        <v>9</v>
      </c>
      <c r="C889" s="1">
        <f>YEAR(W_カレンダー[[#This Row],[日付]])</f>
        <v>2025</v>
      </c>
      <c r="D889" s="1">
        <f>IF(W_カレンダー[[#This Row],[月]]&lt;=3,W_カレンダー[[#This Row],[暦年]]-1,W_カレンダー[[#This Row],[暦年]])</f>
        <v>2025</v>
      </c>
      <c r="E889" s="1" t="str">
        <f>IF(W_カレンダー[[#This Row],[月]]&lt;=3,"Q4",IF(W_カレンダー[[#This Row],[月]]&lt;=6,"Q1",IF(W_カレンダー[[#This Row],[月]]&lt;=9,"Q2","Q3")))</f>
        <v>Q2</v>
      </c>
    </row>
    <row r="890" spans="1:5" ht="18" customHeight="1" x14ac:dyDescent="0.25">
      <c r="A890" s="27">
        <v>45905</v>
      </c>
      <c r="B890" s="29">
        <f>MONTH(W_カレンダー[[#This Row],[日付]])</f>
        <v>9</v>
      </c>
      <c r="C890" s="1">
        <f>YEAR(W_カレンダー[[#This Row],[日付]])</f>
        <v>2025</v>
      </c>
      <c r="D890" s="1">
        <f>IF(W_カレンダー[[#This Row],[月]]&lt;=3,W_カレンダー[[#This Row],[暦年]]-1,W_カレンダー[[#This Row],[暦年]])</f>
        <v>2025</v>
      </c>
      <c r="E890" s="1" t="str">
        <f>IF(W_カレンダー[[#This Row],[月]]&lt;=3,"Q4",IF(W_カレンダー[[#This Row],[月]]&lt;=6,"Q1",IF(W_カレンダー[[#This Row],[月]]&lt;=9,"Q2","Q3")))</f>
        <v>Q2</v>
      </c>
    </row>
    <row r="891" spans="1:5" ht="18" customHeight="1" x14ac:dyDescent="0.25">
      <c r="A891" s="27">
        <v>45906</v>
      </c>
      <c r="B891" s="29">
        <f>MONTH(W_カレンダー[[#This Row],[日付]])</f>
        <v>9</v>
      </c>
      <c r="C891" s="1">
        <f>YEAR(W_カレンダー[[#This Row],[日付]])</f>
        <v>2025</v>
      </c>
      <c r="D891" s="1">
        <f>IF(W_カレンダー[[#This Row],[月]]&lt;=3,W_カレンダー[[#This Row],[暦年]]-1,W_カレンダー[[#This Row],[暦年]])</f>
        <v>2025</v>
      </c>
      <c r="E891" s="1" t="str">
        <f>IF(W_カレンダー[[#This Row],[月]]&lt;=3,"Q4",IF(W_カレンダー[[#This Row],[月]]&lt;=6,"Q1",IF(W_カレンダー[[#This Row],[月]]&lt;=9,"Q2","Q3")))</f>
        <v>Q2</v>
      </c>
    </row>
    <row r="892" spans="1:5" ht="18" customHeight="1" x14ac:dyDescent="0.25">
      <c r="A892" s="27">
        <v>45907</v>
      </c>
      <c r="B892" s="29">
        <f>MONTH(W_カレンダー[[#This Row],[日付]])</f>
        <v>9</v>
      </c>
      <c r="C892" s="1">
        <f>YEAR(W_カレンダー[[#This Row],[日付]])</f>
        <v>2025</v>
      </c>
      <c r="D892" s="1">
        <f>IF(W_カレンダー[[#This Row],[月]]&lt;=3,W_カレンダー[[#This Row],[暦年]]-1,W_カレンダー[[#This Row],[暦年]])</f>
        <v>2025</v>
      </c>
      <c r="E892" s="1" t="str">
        <f>IF(W_カレンダー[[#This Row],[月]]&lt;=3,"Q4",IF(W_カレンダー[[#This Row],[月]]&lt;=6,"Q1",IF(W_カレンダー[[#This Row],[月]]&lt;=9,"Q2","Q3")))</f>
        <v>Q2</v>
      </c>
    </row>
    <row r="893" spans="1:5" ht="18" customHeight="1" x14ac:dyDescent="0.25">
      <c r="A893" s="27">
        <v>45908</v>
      </c>
      <c r="B893" s="29">
        <f>MONTH(W_カレンダー[[#This Row],[日付]])</f>
        <v>9</v>
      </c>
      <c r="C893" s="1">
        <f>YEAR(W_カレンダー[[#This Row],[日付]])</f>
        <v>2025</v>
      </c>
      <c r="D893" s="1">
        <f>IF(W_カレンダー[[#This Row],[月]]&lt;=3,W_カレンダー[[#This Row],[暦年]]-1,W_カレンダー[[#This Row],[暦年]])</f>
        <v>2025</v>
      </c>
      <c r="E893" s="1" t="str">
        <f>IF(W_カレンダー[[#This Row],[月]]&lt;=3,"Q4",IF(W_カレンダー[[#This Row],[月]]&lt;=6,"Q1",IF(W_カレンダー[[#This Row],[月]]&lt;=9,"Q2","Q3")))</f>
        <v>Q2</v>
      </c>
    </row>
    <row r="894" spans="1:5" ht="18" customHeight="1" x14ac:dyDescent="0.25">
      <c r="A894" s="27">
        <v>45909</v>
      </c>
      <c r="B894" s="29">
        <f>MONTH(W_カレンダー[[#This Row],[日付]])</f>
        <v>9</v>
      </c>
      <c r="C894" s="1">
        <f>YEAR(W_カレンダー[[#This Row],[日付]])</f>
        <v>2025</v>
      </c>
      <c r="D894" s="1">
        <f>IF(W_カレンダー[[#This Row],[月]]&lt;=3,W_カレンダー[[#This Row],[暦年]]-1,W_カレンダー[[#This Row],[暦年]])</f>
        <v>2025</v>
      </c>
      <c r="E894" s="1" t="str">
        <f>IF(W_カレンダー[[#This Row],[月]]&lt;=3,"Q4",IF(W_カレンダー[[#This Row],[月]]&lt;=6,"Q1",IF(W_カレンダー[[#This Row],[月]]&lt;=9,"Q2","Q3")))</f>
        <v>Q2</v>
      </c>
    </row>
    <row r="895" spans="1:5" ht="18" customHeight="1" x14ac:dyDescent="0.25">
      <c r="A895" s="27">
        <v>45910</v>
      </c>
      <c r="B895" s="29">
        <f>MONTH(W_カレンダー[[#This Row],[日付]])</f>
        <v>9</v>
      </c>
      <c r="C895" s="1">
        <f>YEAR(W_カレンダー[[#This Row],[日付]])</f>
        <v>2025</v>
      </c>
      <c r="D895" s="1">
        <f>IF(W_カレンダー[[#This Row],[月]]&lt;=3,W_カレンダー[[#This Row],[暦年]]-1,W_カレンダー[[#This Row],[暦年]])</f>
        <v>2025</v>
      </c>
      <c r="E895" s="1" t="str">
        <f>IF(W_カレンダー[[#This Row],[月]]&lt;=3,"Q4",IF(W_カレンダー[[#This Row],[月]]&lt;=6,"Q1",IF(W_カレンダー[[#This Row],[月]]&lt;=9,"Q2","Q3")))</f>
        <v>Q2</v>
      </c>
    </row>
    <row r="896" spans="1:5" ht="18" customHeight="1" x14ac:dyDescent="0.25">
      <c r="A896" s="27">
        <v>45911</v>
      </c>
      <c r="B896" s="29">
        <f>MONTH(W_カレンダー[[#This Row],[日付]])</f>
        <v>9</v>
      </c>
      <c r="C896" s="1">
        <f>YEAR(W_カレンダー[[#This Row],[日付]])</f>
        <v>2025</v>
      </c>
      <c r="D896" s="1">
        <f>IF(W_カレンダー[[#This Row],[月]]&lt;=3,W_カレンダー[[#This Row],[暦年]]-1,W_カレンダー[[#This Row],[暦年]])</f>
        <v>2025</v>
      </c>
      <c r="E896" s="1" t="str">
        <f>IF(W_カレンダー[[#This Row],[月]]&lt;=3,"Q4",IF(W_カレンダー[[#This Row],[月]]&lt;=6,"Q1",IF(W_カレンダー[[#This Row],[月]]&lt;=9,"Q2","Q3")))</f>
        <v>Q2</v>
      </c>
    </row>
    <row r="897" spans="1:5" ht="18" customHeight="1" x14ac:dyDescent="0.25">
      <c r="A897" s="27">
        <v>45912</v>
      </c>
      <c r="B897" s="29">
        <f>MONTH(W_カレンダー[[#This Row],[日付]])</f>
        <v>9</v>
      </c>
      <c r="C897" s="1">
        <f>YEAR(W_カレンダー[[#This Row],[日付]])</f>
        <v>2025</v>
      </c>
      <c r="D897" s="1">
        <f>IF(W_カレンダー[[#This Row],[月]]&lt;=3,W_カレンダー[[#This Row],[暦年]]-1,W_カレンダー[[#This Row],[暦年]])</f>
        <v>2025</v>
      </c>
      <c r="E897" s="1" t="str">
        <f>IF(W_カレンダー[[#This Row],[月]]&lt;=3,"Q4",IF(W_カレンダー[[#This Row],[月]]&lt;=6,"Q1",IF(W_カレンダー[[#This Row],[月]]&lt;=9,"Q2","Q3")))</f>
        <v>Q2</v>
      </c>
    </row>
    <row r="898" spans="1:5" ht="18" customHeight="1" x14ac:dyDescent="0.25">
      <c r="A898" s="27">
        <v>45913</v>
      </c>
      <c r="B898" s="29">
        <f>MONTH(W_カレンダー[[#This Row],[日付]])</f>
        <v>9</v>
      </c>
      <c r="C898" s="1">
        <f>YEAR(W_カレンダー[[#This Row],[日付]])</f>
        <v>2025</v>
      </c>
      <c r="D898" s="1">
        <f>IF(W_カレンダー[[#This Row],[月]]&lt;=3,W_カレンダー[[#This Row],[暦年]]-1,W_カレンダー[[#This Row],[暦年]])</f>
        <v>2025</v>
      </c>
      <c r="E898" s="1" t="str">
        <f>IF(W_カレンダー[[#This Row],[月]]&lt;=3,"Q4",IF(W_カレンダー[[#This Row],[月]]&lt;=6,"Q1",IF(W_カレンダー[[#This Row],[月]]&lt;=9,"Q2","Q3")))</f>
        <v>Q2</v>
      </c>
    </row>
    <row r="899" spans="1:5" ht="18" customHeight="1" x14ac:dyDescent="0.25">
      <c r="A899" s="27">
        <v>45914</v>
      </c>
      <c r="B899" s="29">
        <f>MONTH(W_カレンダー[[#This Row],[日付]])</f>
        <v>9</v>
      </c>
      <c r="C899" s="1">
        <f>YEAR(W_カレンダー[[#This Row],[日付]])</f>
        <v>2025</v>
      </c>
      <c r="D899" s="1">
        <f>IF(W_カレンダー[[#This Row],[月]]&lt;=3,W_カレンダー[[#This Row],[暦年]]-1,W_カレンダー[[#This Row],[暦年]])</f>
        <v>2025</v>
      </c>
      <c r="E899" s="1" t="str">
        <f>IF(W_カレンダー[[#This Row],[月]]&lt;=3,"Q4",IF(W_カレンダー[[#This Row],[月]]&lt;=6,"Q1",IF(W_カレンダー[[#This Row],[月]]&lt;=9,"Q2","Q3")))</f>
        <v>Q2</v>
      </c>
    </row>
    <row r="900" spans="1:5" ht="18" customHeight="1" x14ac:dyDescent="0.25">
      <c r="A900" s="27">
        <v>45915</v>
      </c>
      <c r="B900" s="29">
        <f>MONTH(W_カレンダー[[#This Row],[日付]])</f>
        <v>9</v>
      </c>
      <c r="C900" s="1">
        <f>YEAR(W_カレンダー[[#This Row],[日付]])</f>
        <v>2025</v>
      </c>
      <c r="D900" s="1">
        <f>IF(W_カレンダー[[#This Row],[月]]&lt;=3,W_カレンダー[[#This Row],[暦年]]-1,W_カレンダー[[#This Row],[暦年]])</f>
        <v>2025</v>
      </c>
      <c r="E900" s="1" t="str">
        <f>IF(W_カレンダー[[#This Row],[月]]&lt;=3,"Q4",IF(W_カレンダー[[#This Row],[月]]&lt;=6,"Q1",IF(W_カレンダー[[#This Row],[月]]&lt;=9,"Q2","Q3")))</f>
        <v>Q2</v>
      </c>
    </row>
    <row r="901" spans="1:5" ht="18" customHeight="1" x14ac:dyDescent="0.25">
      <c r="A901" s="27">
        <v>45916</v>
      </c>
      <c r="B901" s="29">
        <f>MONTH(W_カレンダー[[#This Row],[日付]])</f>
        <v>9</v>
      </c>
      <c r="C901" s="1">
        <f>YEAR(W_カレンダー[[#This Row],[日付]])</f>
        <v>2025</v>
      </c>
      <c r="D901" s="1">
        <f>IF(W_カレンダー[[#This Row],[月]]&lt;=3,W_カレンダー[[#This Row],[暦年]]-1,W_カレンダー[[#This Row],[暦年]])</f>
        <v>2025</v>
      </c>
      <c r="E901" s="1" t="str">
        <f>IF(W_カレンダー[[#This Row],[月]]&lt;=3,"Q4",IF(W_カレンダー[[#This Row],[月]]&lt;=6,"Q1",IF(W_カレンダー[[#This Row],[月]]&lt;=9,"Q2","Q3")))</f>
        <v>Q2</v>
      </c>
    </row>
    <row r="902" spans="1:5" ht="18" customHeight="1" x14ac:dyDescent="0.25">
      <c r="A902" s="27">
        <v>45917</v>
      </c>
      <c r="B902" s="29">
        <f>MONTH(W_カレンダー[[#This Row],[日付]])</f>
        <v>9</v>
      </c>
      <c r="C902" s="1">
        <f>YEAR(W_カレンダー[[#This Row],[日付]])</f>
        <v>2025</v>
      </c>
      <c r="D902" s="1">
        <f>IF(W_カレンダー[[#This Row],[月]]&lt;=3,W_カレンダー[[#This Row],[暦年]]-1,W_カレンダー[[#This Row],[暦年]])</f>
        <v>2025</v>
      </c>
      <c r="E902" s="1" t="str">
        <f>IF(W_カレンダー[[#This Row],[月]]&lt;=3,"Q4",IF(W_カレンダー[[#This Row],[月]]&lt;=6,"Q1",IF(W_カレンダー[[#This Row],[月]]&lt;=9,"Q2","Q3")))</f>
        <v>Q2</v>
      </c>
    </row>
    <row r="903" spans="1:5" ht="18" customHeight="1" x14ac:dyDescent="0.25">
      <c r="A903" s="27">
        <v>45918</v>
      </c>
      <c r="B903" s="29">
        <f>MONTH(W_カレンダー[[#This Row],[日付]])</f>
        <v>9</v>
      </c>
      <c r="C903" s="1">
        <f>YEAR(W_カレンダー[[#This Row],[日付]])</f>
        <v>2025</v>
      </c>
      <c r="D903" s="1">
        <f>IF(W_カレンダー[[#This Row],[月]]&lt;=3,W_カレンダー[[#This Row],[暦年]]-1,W_カレンダー[[#This Row],[暦年]])</f>
        <v>2025</v>
      </c>
      <c r="E903" s="1" t="str">
        <f>IF(W_カレンダー[[#This Row],[月]]&lt;=3,"Q4",IF(W_カレンダー[[#This Row],[月]]&lt;=6,"Q1",IF(W_カレンダー[[#This Row],[月]]&lt;=9,"Q2","Q3")))</f>
        <v>Q2</v>
      </c>
    </row>
    <row r="904" spans="1:5" ht="18" customHeight="1" x14ac:dyDescent="0.25">
      <c r="A904" s="27">
        <v>45919</v>
      </c>
      <c r="B904" s="29">
        <f>MONTH(W_カレンダー[[#This Row],[日付]])</f>
        <v>9</v>
      </c>
      <c r="C904" s="1">
        <f>YEAR(W_カレンダー[[#This Row],[日付]])</f>
        <v>2025</v>
      </c>
      <c r="D904" s="1">
        <f>IF(W_カレンダー[[#This Row],[月]]&lt;=3,W_カレンダー[[#This Row],[暦年]]-1,W_カレンダー[[#This Row],[暦年]])</f>
        <v>2025</v>
      </c>
      <c r="E904" s="1" t="str">
        <f>IF(W_カレンダー[[#This Row],[月]]&lt;=3,"Q4",IF(W_カレンダー[[#This Row],[月]]&lt;=6,"Q1",IF(W_カレンダー[[#This Row],[月]]&lt;=9,"Q2","Q3")))</f>
        <v>Q2</v>
      </c>
    </row>
    <row r="905" spans="1:5" ht="18" customHeight="1" x14ac:dyDescent="0.25">
      <c r="A905" s="27">
        <v>45920</v>
      </c>
      <c r="B905" s="29">
        <f>MONTH(W_カレンダー[[#This Row],[日付]])</f>
        <v>9</v>
      </c>
      <c r="C905" s="1">
        <f>YEAR(W_カレンダー[[#This Row],[日付]])</f>
        <v>2025</v>
      </c>
      <c r="D905" s="1">
        <f>IF(W_カレンダー[[#This Row],[月]]&lt;=3,W_カレンダー[[#This Row],[暦年]]-1,W_カレンダー[[#This Row],[暦年]])</f>
        <v>2025</v>
      </c>
      <c r="E905" s="1" t="str">
        <f>IF(W_カレンダー[[#This Row],[月]]&lt;=3,"Q4",IF(W_カレンダー[[#This Row],[月]]&lt;=6,"Q1",IF(W_カレンダー[[#This Row],[月]]&lt;=9,"Q2","Q3")))</f>
        <v>Q2</v>
      </c>
    </row>
    <row r="906" spans="1:5" ht="18" customHeight="1" x14ac:dyDescent="0.25">
      <c r="A906" s="27">
        <v>45921</v>
      </c>
      <c r="B906" s="29">
        <f>MONTH(W_カレンダー[[#This Row],[日付]])</f>
        <v>9</v>
      </c>
      <c r="C906" s="1">
        <f>YEAR(W_カレンダー[[#This Row],[日付]])</f>
        <v>2025</v>
      </c>
      <c r="D906" s="1">
        <f>IF(W_カレンダー[[#This Row],[月]]&lt;=3,W_カレンダー[[#This Row],[暦年]]-1,W_カレンダー[[#This Row],[暦年]])</f>
        <v>2025</v>
      </c>
      <c r="E906" s="1" t="str">
        <f>IF(W_カレンダー[[#This Row],[月]]&lt;=3,"Q4",IF(W_カレンダー[[#This Row],[月]]&lt;=6,"Q1",IF(W_カレンダー[[#This Row],[月]]&lt;=9,"Q2","Q3")))</f>
        <v>Q2</v>
      </c>
    </row>
    <row r="907" spans="1:5" ht="18" customHeight="1" x14ac:dyDescent="0.25">
      <c r="A907" s="27">
        <v>45922</v>
      </c>
      <c r="B907" s="29">
        <f>MONTH(W_カレンダー[[#This Row],[日付]])</f>
        <v>9</v>
      </c>
      <c r="C907" s="1">
        <f>YEAR(W_カレンダー[[#This Row],[日付]])</f>
        <v>2025</v>
      </c>
      <c r="D907" s="1">
        <f>IF(W_カレンダー[[#This Row],[月]]&lt;=3,W_カレンダー[[#This Row],[暦年]]-1,W_カレンダー[[#This Row],[暦年]])</f>
        <v>2025</v>
      </c>
      <c r="E907" s="1" t="str">
        <f>IF(W_カレンダー[[#This Row],[月]]&lt;=3,"Q4",IF(W_カレンダー[[#This Row],[月]]&lt;=6,"Q1",IF(W_カレンダー[[#This Row],[月]]&lt;=9,"Q2","Q3")))</f>
        <v>Q2</v>
      </c>
    </row>
    <row r="908" spans="1:5" ht="18" customHeight="1" x14ac:dyDescent="0.25">
      <c r="A908" s="27">
        <v>45923</v>
      </c>
      <c r="B908" s="29">
        <f>MONTH(W_カレンダー[[#This Row],[日付]])</f>
        <v>9</v>
      </c>
      <c r="C908" s="1">
        <f>YEAR(W_カレンダー[[#This Row],[日付]])</f>
        <v>2025</v>
      </c>
      <c r="D908" s="1">
        <f>IF(W_カレンダー[[#This Row],[月]]&lt;=3,W_カレンダー[[#This Row],[暦年]]-1,W_カレンダー[[#This Row],[暦年]])</f>
        <v>2025</v>
      </c>
      <c r="E908" s="1" t="str">
        <f>IF(W_カレンダー[[#This Row],[月]]&lt;=3,"Q4",IF(W_カレンダー[[#This Row],[月]]&lt;=6,"Q1",IF(W_カレンダー[[#This Row],[月]]&lt;=9,"Q2","Q3")))</f>
        <v>Q2</v>
      </c>
    </row>
    <row r="909" spans="1:5" ht="18" customHeight="1" x14ac:dyDescent="0.25">
      <c r="A909" s="27">
        <v>45924</v>
      </c>
      <c r="B909" s="29">
        <f>MONTH(W_カレンダー[[#This Row],[日付]])</f>
        <v>9</v>
      </c>
      <c r="C909" s="1">
        <f>YEAR(W_カレンダー[[#This Row],[日付]])</f>
        <v>2025</v>
      </c>
      <c r="D909" s="1">
        <f>IF(W_カレンダー[[#This Row],[月]]&lt;=3,W_カレンダー[[#This Row],[暦年]]-1,W_カレンダー[[#This Row],[暦年]])</f>
        <v>2025</v>
      </c>
      <c r="E909" s="1" t="str">
        <f>IF(W_カレンダー[[#This Row],[月]]&lt;=3,"Q4",IF(W_カレンダー[[#This Row],[月]]&lt;=6,"Q1",IF(W_カレンダー[[#This Row],[月]]&lt;=9,"Q2","Q3")))</f>
        <v>Q2</v>
      </c>
    </row>
    <row r="910" spans="1:5" ht="18" customHeight="1" x14ac:dyDescent="0.25">
      <c r="A910" s="27">
        <v>45925</v>
      </c>
      <c r="B910" s="29">
        <f>MONTH(W_カレンダー[[#This Row],[日付]])</f>
        <v>9</v>
      </c>
      <c r="C910" s="1">
        <f>YEAR(W_カレンダー[[#This Row],[日付]])</f>
        <v>2025</v>
      </c>
      <c r="D910" s="1">
        <f>IF(W_カレンダー[[#This Row],[月]]&lt;=3,W_カレンダー[[#This Row],[暦年]]-1,W_カレンダー[[#This Row],[暦年]])</f>
        <v>2025</v>
      </c>
      <c r="E910" s="1" t="str">
        <f>IF(W_カレンダー[[#This Row],[月]]&lt;=3,"Q4",IF(W_カレンダー[[#This Row],[月]]&lt;=6,"Q1",IF(W_カレンダー[[#This Row],[月]]&lt;=9,"Q2","Q3")))</f>
        <v>Q2</v>
      </c>
    </row>
    <row r="911" spans="1:5" ht="18" customHeight="1" x14ac:dyDescent="0.25">
      <c r="A911" s="27">
        <v>45926</v>
      </c>
      <c r="B911" s="29">
        <f>MONTH(W_カレンダー[[#This Row],[日付]])</f>
        <v>9</v>
      </c>
      <c r="C911" s="1">
        <f>YEAR(W_カレンダー[[#This Row],[日付]])</f>
        <v>2025</v>
      </c>
      <c r="D911" s="1">
        <f>IF(W_カレンダー[[#This Row],[月]]&lt;=3,W_カレンダー[[#This Row],[暦年]]-1,W_カレンダー[[#This Row],[暦年]])</f>
        <v>2025</v>
      </c>
      <c r="E911" s="1" t="str">
        <f>IF(W_カレンダー[[#This Row],[月]]&lt;=3,"Q4",IF(W_カレンダー[[#This Row],[月]]&lt;=6,"Q1",IF(W_カレンダー[[#This Row],[月]]&lt;=9,"Q2","Q3")))</f>
        <v>Q2</v>
      </c>
    </row>
    <row r="912" spans="1:5" ht="18" customHeight="1" x14ac:dyDescent="0.25">
      <c r="A912" s="27">
        <v>45927</v>
      </c>
      <c r="B912" s="29">
        <f>MONTH(W_カレンダー[[#This Row],[日付]])</f>
        <v>9</v>
      </c>
      <c r="C912" s="1">
        <f>YEAR(W_カレンダー[[#This Row],[日付]])</f>
        <v>2025</v>
      </c>
      <c r="D912" s="1">
        <f>IF(W_カレンダー[[#This Row],[月]]&lt;=3,W_カレンダー[[#This Row],[暦年]]-1,W_カレンダー[[#This Row],[暦年]])</f>
        <v>2025</v>
      </c>
      <c r="E912" s="1" t="str">
        <f>IF(W_カレンダー[[#This Row],[月]]&lt;=3,"Q4",IF(W_カレンダー[[#This Row],[月]]&lt;=6,"Q1",IF(W_カレンダー[[#This Row],[月]]&lt;=9,"Q2","Q3")))</f>
        <v>Q2</v>
      </c>
    </row>
    <row r="913" spans="1:5" ht="18" customHeight="1" x14ac:dyDescent="0.25">
      <c r="A913" s="27">
        <v>45928</v>
      </c>
      <c r="B913" s="29">
        <f>MONTH(W_カレンダー[[#This Row],[日付]])</f>
        <v>9</v>
      </c>
      <c r="C913" s="1">
        <f>YEAR(W_カレンダー[[#This Row],[日付]])</f>
        <v>2025</v>
      </c>
      <c r="D913" s="1">
        <f>IF(W_カレンダー[[#This Row],[月]]&lt;=3,W_カレンダー[[#This Row],[暦年]]-1,W_カレンダー[[#This Row],[暦年]])</f>
        <v>2025</v>
      </c>
      <c r="E913" s="1" t="str">
        <f>IF(W_カレンダー[[#This Row],[月]]&lt;=3,"Q4",IF(W_カレンダー[[#This Row],[月]]&lt;=6,"Q1",IF(W_カレンダー[[#This Row],[月]]&lt;=9,"Q2","Q3")))</f>
        <v>Q2</v>
      </c>
    </row>
    <row r="914" spans="1:5" ht="18" customHeight="1" x14ac:dyDescent="0.25">
      <c r="A914" s="27">
        <v>45929</v>
      </c>
      <c r="B914" s="29">
        <f>MONTH(W_カレンダー[[#This Row],[日付]])</f>
        <v>9</v>
      </c>
      <c r="C914" s="1">
        <f>YEAR(W_カレンダー[[#This Row],[日付]])</f>
        <v>2025</v>
      </c>
      <c r="D914" s="1">
        <f>IF(W_カレンダー[[#This Row],[月]]&lt;=3,W_カレンダー[[#This Row],[暦年]]-1,W_カレンダー[[#This Row],[暦年]])</f>
        <v>2025</v>
      </c>
      <c r="E914" s="1" t="str">
        <f>IF(W_カレンダー[[#This Row],[月]]&lt;=3,"Q4",IF(W_カレンダー[[#This Row],[月]]&lt;=6,"Q1",IF(W_カレンダー[[#This Row],[月]]&lt;=9,"Q2","Q3")))</f>
        <v>Q2</v>
      </c>
    </row>
    <row r="915" spans="1:5" ht="18" customHeight="1" x14ac:dyDescent="0.25">
      <c r="A915" s="27">
        <v>45930</v>
      </c>
      <c r="B915" s="29">
        <f>MONTH(W_カレンダー[[#This Row],[日付]])</f>
        <v>9</v>
      </c>
      <c r="C915" s="1">
        <f>YEAR(W_カレンダー[[#This Row],[日付]])</f>
        <v>2025</v>
      </c>
      <c r="D915" s="1">
        <f>IF(W_カレンダー[[#This Row],[月]]&lt;=3,W_カレンダー[[#This Row],[暦年]]-1,W_カレンダー[[#This Row],[暦年]])</f>
        <v>2025</v>
      </c>
      <c r="E915" s="1" t="str">
        <f>IF(W_カレンダー[[#This Row],[月]]&lt;=3,"Q4",IF(W_カレンダー[[#This Row],[月]]&lt;=6,"Q1",IF(W_カレンダー[[#This Row],[月]]&lt;=9,"Q2","Q3")))</f>
        <v>Q2</v>
      </c>
    </row>
    <row r="916" spans="1:5" ht="18" customHeight="1" x14ac:dyDescent="0.25">
      <c r="A916" s="27">
        <v>45931</v>
      </c>
      <c r="B916" s="29">
        <f>MONTH(W_カレンダー[[#This Row],[日付]])</f>
        <v>10</v>
      </c>
      <c r="C916" s="1">
        <f>YEAR(W_カレンダー[[#This Row],[日付]])</f>
        <v>2025</v>
      </c>
      <c r="D916" s="1">
        <f>IF(W_カレンダー[[#This Row],[月]]&lt;=3,W_カレンダー[[#This Row],[暦年]]-1,W_カレンダー[[#This Row],[暦年]])</f>
        <v>2025</v>
      </c>
      <c r="E916" s="1" t="str">
        <f>IF(W_カレンダー[[#This Row],[月]]&lt;=3,"Q4",IF(W_カレンダー[[#This Row],[月]]&lt;=6,"Q1",IF(W_カレンダー[[#This Row],[月]]&lt;=9,"Q2","Q3")))</f>
        <v>Q3</v>
      </c>
    </row>
    <row r="917" spans="1:5" ht="18" customHeight="1" x14ac:dyDescent="0.25">
      <c r="A917" s="27">
        <v>45932</v>
      </c>
      <c r="B917" s="29">
        <f>MONTH(W_カレンダー[[#This Row],[日付]])</f>
        <v>10</v>
      </c>
      <c r="C917" s="1">
        <f>YEAR(W_カレンダー[[#This Row],[日付]])</f>
        <v>2025</v>
      </c>
      <c r="D917" s="1">
        <f>IF(W_カレンダー[[#This Row],[月]]&lt;=3,W_カレンダー[[#This Row],[暦年]]-1,W_カレンダー[[#This Row],[暦年]])</f>
        <v>2025</v>
      </c>
      <c r="E917" s="1" t="str">
        <f>IF(W_カレンダー[[#This Row],[月]]&lt;=3,"Q4",IF(W_カレンダー[[#This Row],[月]]&lt;=6,"Q1",IF(W_カレンダー[[#This Row],[月]]&lt;=9,"Q2","Q3")))</f>
        <v>Q3</v>
      </c>
    </row>
    <row r="918" spans="1:5" ht="18" customHeight="1" x14ac:dyDescent="0.25">
      <c r="A918" s="27">
        <v>45933</v>
      </c>
      <c r="B918" s="29">
        <f>MONTH(W_カレンダー[[#This Row],[日付]])</f>
        <v>10</v>
      </c>
      <c r="C918" s="1">
        <f>YEAR(W_カレンダー[[#This Row],[日付]])</f>
        <v>2025</v>
      </c>
      <c r="D918" s="1">
        <f>IF(W_カレンダー[[#This Row],[月]]&lt;=3,W_カレンダー[[#This Row],[暦年]]-1,W_カレンダー[[#This Row],[暦年]])</f>
        <v>2025</v>
      </c>
      <c r="E918" s="1" t="str">
        <f>IF(W_カレンダー[[#This Row],[月]]&lt;=3,"Q4",IF(W_カレンダー[[#This Row],[月]]&lt;=6,"Q1",IF(W_カレンダー[[#This Row],[月]]&lt;=9,"Q2","Q3")))</f>
        <v>Q3</v>
      </c>
    </row>
    <row r="919" spans="1:5" ht="18" customHeight="1" x14ac:dyDescent="0.25">
      <c r="A919" s="27">
        <v>45934</v>
      </c>
      <c r="B919" s="29">
        <f>MONTH(W_カレンダー[[#This Row],[日付]])</f>
        <v>10</v>
      </c>
      <c r="C919" s="1">
        <f>YEAR(W_カレンダー[[#This Row],[日付]])</f>
        <v>2025</v>
      </c>
      <c r="D919" s="1">
        <f>IF(W_カレンダー[[#This Row],[月]]&lt;=3,W_カレンダー[[#This Row],[暦年]]-1,W_カレンダー[[#This Row],[暦年]])</f>
        <v>2025</v>
      </c>
      <c r="E919" s="1" t="str">
        <f>IF(W_カレンダー[[#This Row],[月]]&lt;=3,"Q4",IF(W_カレンダー[[#This Row],[月]]&lt;=6,"Q1",IF(W_カレンダー[[#This Row],[月]]&lt;=9,"Q2","Q3")))</f>
        <v>Q3</v>
      </c>
    </row>
    <row r="920" spans="1:5" ht="18" customHeight="1" x14ac:dyDescent="0.25">
      <c r="A920" s="27">
        <v>45935</v>
      </c>
      <c r="B920" s="29">
        <f>MONTH(W_カレンダー[[#This Row],[日付]])</f>
        <v>10</v>
      </c>
      <c r="C920" s="1">
        <f>YEAR(W_カレンダー[[#This Row],[日付]])</f>
        <v>2025</v>
      </c>
      <c r="D920" s="1">
        <f>IF(W_カレンダー[[#This Row],[月]]&lt;=3,W_カレンダー[[#This Row],[暦年]]-1,W_カレンダー[[#This Row],[暦年]])</f>
        <v>2025</v>
      </c>
      <c r="E920" s="1" t="str">
        <f>IF(W_カレンダー[[#This Row],[月]]&lt;=3,"Q4",IF(W_カレンダー[[#This Row],[月]]&lt;=6,"Q1",IF(W_カレンダー[[#This Row],[月]]&lt;=9,"Q2","Q3")))</f>
        <v>Q3</v>
      </c>
    </row>
    <row r="921" spans="1:5" ht="18" customHeight="1" x14ac:dyDescent="0.25">
      <c r="A921" s="27">
        <v>45936</v>
      </c>
      <c r="B921" s="29">
        <f>MONTH(W_カレンダー[[#This Row],[日付]])</f>
        <v>10</v>
      </c>
      <c r="C921" s="1">
        <f>YEAR(W_カレンダー[[#This Row],[日付]])</f>
        <v>2025</v>
      </c>
      <c r="D921" s="1">
        <f>IF(W_カレンダー[[#This Row],[月]]&lt;=3,W_カレンダー[[#This Row],[暦年]]-1,W_カレンダー[[#This Row],[暦年]])</f>
        <v>2025</v>
      </c>
      <c r="E921" s="1" t="str">
        <f>IF(W_カレンダー[[#This Row],[月]]&lt;=3,"Q4",IF(W_カレンダー[[#This Row],[月]]&lt;=6,"Q1",IF(W_カレンダー[[#This Row],[月]]&lt;=9,"Q2","Q3")))</f>
        <v>Q3</v>
      </c>
    </row>
    <row r="922" spans="1:5" ht="18" customHeight="1" x14ac:dyDescent="0.25">
      <c r="A922" s="27">
        <v>45937</v>
      </c>
      <c r="B922" s="29">
        <f>MONTH(W_カレンダー[[#This Row],[日付]])</f>
        <v>10</v>
      </c>
      <c r="C922" s="1">
        <f>YEAR(W_カレンダー[[#This Row],[日付]])</f>
        <v>2025</v>
      </c>
      <c r="D922" s="1">
        <f>IF(W_カレンダー[[#This Row],[月]]&lt;=3,W_カレンダー[[#This Row],[暦年]]-1,W_カレンダー[[#This Row],[暦年]])</f>
        <v>2025</v>
      </c>
      <c r="E922" s="1" t="str">
        <f>IF(W_カレンダー[[#This Row],[月]]&lt;=3,"Q4",IF(W_カレンダー[[#This Row],[月]]&lt;=6,"Q1",IF(W_カレンダー[[#This Row],[月]]&lt;=9,"Q2","Q3")))</f>
        <v>Q3</v>
      </c>
    </row>
    <row r="923" spans="1:5" ht="18" customHeight="1" x14ac:dyDescent="0.25">
      <c r="A923" s="27">
        <v>45938</v>
      </c>
      <c r="B923" s="29">
        <f>MONTH(W_カレンダー[[#This Row],[日付]])</f>
        <v>10</v>
      </c>
      <c r="C923" s="1">
        <f>YEAR(W_カレンダー[[#This Row],[日付]])</f>
        <v>2025</v>
      </c>
      <c r="D923" s="1">
        <f>IF(W_カレンダー[[#This Row],[月]]&lt;=3,W_カレンダー[[#This Row],[暦年]]-1,W_カレンダー[[#This Row],[暦年]])</f>
        <v>2025</v>
      </c>
      <c r="E923" s="1" t="str">
        <f>IF(W_カレンダー[[#This Row],[月]]&lt;=3,"Q4",IF(W_カレンダー[[#This Row],[月]]&lt;=6,"Q1",IF(W_カレンダー[[#This Row],[月]]&lt;=9,"Q2","Q3")))</f>
        <v>Q3</v>
      </c>
    </row>
    <row r="924" spans="1:5" ht="18" customHeight="1" x14ac:dyDescent="0.25">
      <c r="A924" s="27">
        <v>45939</v>
      </c>
      <c r="B924" s="29">
        <f>MONTH(W_カレンダー[[#This Row],[日付]])</f>
        <v>10</v>
      </c>
      <c r="C924" s="1">
        <f>YEAR(W_カレンダー[[#This Row],[日付]])</f>
        <v>2025</v>
      </c>
      <c r="D924" s="1">
        <f>IF(W_カレンダー[[#This Row],[月]]&lt;=3,W_カレンダー[[#This Row],[暦年]]-1,W_カレンダー[[#This Row],[暦年]])</f>
        <v>2025</v>
      </c>
      <c r="E924" s="1" t="str">
        <f>IF(W_カレンダー[[#This Row],[月]]&lt;=3,"Q4",IF(W_カレンダー[[#This Row],[月]]&lt;=6,"Q1",IF(W_カレンダー[[#This Row],[月]]&lt;=9,"Q2","Q3")))</f>
        <v>Q3</v>
      </c>
    </row>
    <row r="925" spans="1:5" ht="18" customHeight="1" x14ac:dyDescent="0.25">
      <c r="A925" s="27">
        <v>45940</v>
      </c>
      <c r="B925" s="29">
        <f>MONTH(W_カレンダー[[#This Row],[日付]])</f>
        <v>10</v>
      </c>
      <c r="C925" s="1">
        <f>YEAR(W_カレンダー[[#This Row],[日付]])</f>
        <v>2025</v>
      </c>
      <c r="D925" s="1">
        <f>IF(W_カレンダー[[#This Row],[月]]&lt;=3,W_カレンダー[[#This Row],[暦年]]-1,W_カレンダー[[#This Row],[暦年]])</f>
        <v>2025</v>
      </c>
      <c r="E925" s="1" t="str">
        <f>IF(W_カレンダー[[#This Row],[月]]&lt;=3,"Q4",IF(W_カレンダー[[#This Row],[月]]&lt;=6,"Q1",IF(W_カレンダー[[#This Row],[月]]&lt;=9,"Q2","Q3")))</f>
        <v>Q3</v>
      </c>
    </row>
    <row r="926" spans="1:5" ht="18" customHeight="1" x14ac:dyDescent="0.25">
      <c r="A926" s="27">
        <v>45941</v>
      </c>
      <c r="B926" s="29">
        <f>MONTH(W_カレンダー[[#This Row],[日付]])</f>
        <v>10</v>
      </c>
      <c r="C926" s="1">
        <f>YEAR(W_カレンダー[[#This Row],[日付]])</f>
        <v>2025</v>
      </c>
      <c r="D926" s="1">
        <f>IF(W_カレンダー[[#This Row],[月]]&lt;=3,W_カレンダー[[#This Row],[暦年]]-1,W_カレンダー[[#This Row],[暦年]])</f>
        <v>2025</v>
      </c>
      <c r="E926" s="1" t="str">
        <f>IF(W_カレンダー[[#This Row],[月]]&lt;=3,"Q4",IF(W_カレンダー[[#This Row],[月]]&lt;=6,"Q1",IF(W_カレンダー[[#This Row],[月]]&lt;=9,"Q2","Q3")))</f>
        <v>Q3</v>
      </c>
    </row>
    <row r="927" spans="1:5" ht="18" customHeight="1" x14ac:dyDescent="0.25">
      <c r="A927" s="27">
        <v>45942</v>
      </c>
      <c r="B927" s="29">
        <f>MONTH(W_カレンダー[[#This Row],[日付]])</f>
        <v>10</v>
      </c>
      <c r="C927" s="1">
        <f>YEAR(W_カレンダー[[#This Row],[日付]])</f>
        <v>2025</v>
      </c>
      <c r="D927" s="1">
        <f>IF(W_カレンダー[[#This Row],[月]]&lt;=3,W_カレンダー[[#This Row],[暦年]]-1,W_カレンダー[[#This Row],[暦年]])</f>
        <v>2025</v>
      </c>
      <c r="E927" s="1" t="str">
        <f>IF(W_カレンダー[[#This Row],[月]]&lt;=3,"Q4",IF(W_カレンダー[[#This Row],[月]]&lt;=6,"Q1",IF(W_カレンダー[[#This Row],[月]]&lt;=9,"Q2","Q3")))</f>
        <v>Q3</v>
      </c>
    </row>
    <row r="928" spans="1:5" ht="18" customHeight="1" x14ac:dyDescent="0.25">
      <c r="A928" s="27">
        <v>45943</v>
      </c>
      <c r="B928" s="29">
        <f>MONTH(W_カレンダー[[#This Row],[日付]])</f>
        <v>10</v>
      </c>
      <c r="C928" s="1">
        <f>YEAR(W_カレンダー[[#This Row],[日付]])</f>
        <v>2025</v>
      </c>
      <c r="D928" s="1">
        <f>IF(W_カレンダー[[#This Row],[月]]&lt;=3,W_カレンダー[[#This Row],[暦年]]-1,W_カレンダー[[#This Row],[暦年]])</f>
        <v>2025</v>
      </c>
      <c r="E928" s="1" t="str">
        <f>IF(W_カレンダー[[#This Row],[月]]&lt;=3,"Q4",IF(W_カレンダー[[#This Row],[月]]&lt;=6,"Q1",IF(W_カレンダー[[#This Row],[月]]&lt;=9,"Q2","Q3")))</f>
        <v>Q3</v>
      </c>
    </row>
    <row r="929" spans="1:5" ht="18" customHeight="1" x14ac:dyDescent="0.25">
      <c r="A929" s="27">
        <v>45944</v>
      </c>
      <c r="B929" s="29">
        <f>MONTH(W_カレンダー[[#This Row],[日付]])</f>
        <v>10</v>
      </c>
      <c r="C929" s="1">
        <f>YEAR(W_カレンダー[[#This Row],[日付]])</f>
        <v>2025</v>
      </c>
      <c r="D929" s="1">
        <f>IF(W_カレンダー[[#This Row],[月]]&lt;=3,W_カレンダー[[#This Row],[暦年]]-1,W_カレンダー[[#This Row],[暦年]])</f>
        <v>2025</v>
      </c>
      <c r="E929" s="1" t="str">
        <f>IF(W_カレンダー[[#This Row],[月]]&lt;=3,"Q4",IF(W_カレンダー[[#This Row],[月]]&lt;=6,"Q1",IF(W_カレンダー[[#This Row],[月]]&lt;=9,"Q2","Q3")))</f>
        <v>Q3</v>
      </c>
    </row>
    <row r="930" spans="1:5" ht="18" customHeight="1" x14ac:dyDescent="0.25">
      <c r="A930" s="27">
        <v>45945</v>
      </c>
      <c r="B930" s="29">
        <f>MONTH(W_カレンダー[[#This Row],[日付]])</f>
        <v>10</v>
      </c>
      <c r="C930" s="1">
        <f>YEAR(W_カレンダー[[#This Row],[日付]])</f>
        <v>2025</v>
      </c>
      <c r="D930" s="1">
        <f>IF(W_カレンダー[[#This Row],[月]]&lt;=3,W_カレンダー[[#This Row],[暦年]]-1,W_カレンダー[[#This Row],[暦年]])</f>
        <v>2025</v>
      </c>
      <c r="E930" s="1" t="str">
        <f>IF(W_カレンダー[[#This Row],[月]]&lt;=3,"Q4",IF(W_カレンダー[[#This Row],[月]]&lt;=6,"Q1",IF(W_カレンダー[[#This Row],[月]]&lt;=9,"Q2","Q3")))</f>
        <v>Q3</v>
      </c>
    </row>
    <row r="931" spans="1:5" ht="18" customHeight="1" x14ac:dyDescent="0.25">
      <c r="A931" s="27">
        <v>45946</v>
      </c>
      <c r="B931" s="29">
        <f>MONTH(W_カレンダー[[#This Row],[日付]])</f>
        <v>10</v>
      </c>
      <c r="C931" s="1">
        <f>YEAR(W_カレンダー[[#This Row],[日付]])</f>
        <v>2025</v>
      </c>
      <c r="D931" s="1">
        <f>IF(W_カレンダー[[#This Row],[月]]&lt;=3,W_カレンダー[[#This Row],[暦年]]-1,W_カレンダー[[#This Row],[暦年]])</f>
        <v>2025</v>
      </c>
      <c r="E931" s="1" t="str">
        <f>IF(W_カレンダー[[#This Row],[月]]&lt;=3,"Q4",IF(W_カレンダー[[#This Row],[月]]&lt;=6,"Q1",IF(W_カレンダー[[#This Row],[月]]&lt;=9,"Q2","Q3")))</f>
        <v>Q3</v>
      </c>
    </row>
    <row r="932" spans="1:5" ht="18" customHeight="1" x14ac:dyDescent="0.25">
      <c r="A932" s="27">
        <v>45947</v>
      </c>
      <c r="B932" s="29">
        <f>MONTH(W_カレンダー[[#This Row],[日付]])</f>
        <v>10</v>
      </c>
      <c r="C932" s="1">
        <f>YEAR(W_カレンダー[[#This Row],[日付]])</f>
        <v>2025</v>
      </c>
      <c r="D932" s="1">
        <f>IF(W_カレンダー[[#This Row],[月]]&lt;=3,W_カレンダー[[#This Row],[暦年]]-1,W_カレンダー[[#This Row],[暦年]])</f>
        <v>2025</v>
      </c>
      <c r="E932" s="1" t="str">
        <f>IF(W_カレンダー[[#This Row],[月]]&lt;=3,"Q4",IF(W_カレンダー[[#This Row],[月]]&lt;=6,"Q1",IF(W_カレンダー[[#This Row],[月]]&lt;=9,"Q2","Q3")))</f>
        <v>Q3</v>
      </c>
    </row>
    <row r="933" spans="1:5" ht="18" customHeight="1" x14ac:dyDescent="0.25">
      <c r="A933" s="27">
        <v>45948</v>
      </c>
      <c r="B933" s="29">
        <f>MONTH(W_カレンダー[[#This Row],[日付]])</f>
        <v>10</v>
      </c>
      <c r="C933" s="1">
        <f>YEAR(W_カレンダー[[#This Row],[日付]])</f>
        <v>2025</v>
      </c>
      <c r="D933" s="1">
        <f>IF(W_カレンダー[[#This Row],[月]]&lt;=3,W_カレンダー[[#This Row],[暦年]]-1,W_カレンダー[[#This Row],[暦年]])</f>
        <v>2025</v>
      </c>
      <c r="E933" s="1" t="str">
        <f>IF(W_カレンダー[[#This Row],[月]]&lt;=3,"Q4",IF(W_カレンダー[[#This Row],[月]]&lt;=6,"Q1",IF(W_カレンダー[[#This Row],[月]]&lt;=9,"Q2","Q3")))</f>
        <v>Q3</v>
      </c>
    </row>
    <row r="934" spans="1:5" ht="18" customHeight="1" x14ac:dyDescent="0.25">
      <c r="A934" s="27">
        <v>45949</v>
      </c>
      <c r="B934" s="29">
        <f>MONTH(W_カレンダー[[#This Row],[日付]])</f>
        <v>10</v>
      </c>
      <c r="C934" s="1">
        <f>YEAR(W_カレンダー[[#This Row],[日付]])</f>
        <v>2025</v>
      </c>
      <c r="D934" s="1">
        <f>IF(W_カレンダー[[#This Row],[月]]&lt;=3,W_カレンダー[[#This Row],[暦年]]-1,W_カレンダー[[#This Row],[暦年]])</f>
        <v>2025</v>
      </c>
      <c r="E934" s="1" t="str">
        <f>IF(W_カレンダー[[#This Row],[月]]&lt;=3,"Q4",IF(W_カレンダー[[#This Row],[月]]&lt;=6,"Q1",IF(W_カレンダー[[#This Row],[月]]&lt;=9,"Q2","Q3")))</f>
        <v>Q3</v>
      </c>
    </row>
    <row r="935" spans="1:5" ht="18" customHeight="1" x14ac:dyDescent="0.25">
      <c r="A935" s="27">
        <v>45950</v>
      </c>
      <c r="B935" s="29">
        <f>MONTH(W_カレンダー[[#This Row],[日付]])</f>
        <v>10</v>
      </c>
      <c r="C935" s="1">
        <f>YEAR(W_カレンダー[[#This Row],[日付]])</f>
        <v>2025</v>
      </c>
      <c r="D935" s="1">
        <f>IF(W_カレンダー[[#This Row],[月]]&lt;=3,W_カレンダー[[#This Row],[暦年]]-1,W_カレンダー[[#This Row],[暦年]])</f>
        <v>2025</v>
      </c>
      <c r="E935" s="1" t="str">
        <f>IF(W_カレンダー[[#This Row],[月]]&lt;=3,"Q4",IF(W_カレンダー[[#This Row],[月]]&lt;=6,"Q1",IF(W_カレンダー[[#This Row],[月]]&lt;=9,"Q2","Q3")))</f>
        <v>Q3</v>
      </c>
    </row>
    <row r="936" spans="1:5" ht="18" customHeight="1" x14ac:dyDescent="0.25">
      <c r="A936" s="27">
        <v>45951</v>
      </c>
      <c r="B936" s="29">
        <f>MONTH(W_カレンダー[[#This Row],[日付]])</f>
        <v>10</v>
      </c>
      <c r="C936" s="1">
        <f>YEAR(W_カレンダー[[#This Row],[日付]])</f>
        <v>2025</v>
      </c>
      <c r="D936" s="1">
        <f>IF(W_カレンダー[[#This Row],[月]]&lt;=3,W_カレンダー[[#This Row],[暦年]]-1,W_カレンダー[[#This Row],[暦年]])</f>
        <v>2025</v>
      </c>
      <c r="E936" s="1" t="str">
        <f>IF(W_カレンダー[[#This Row],[月]]&lt;=3,"Q4",IF(W_カレンダー[[#This Row],[月]]&lt;=6,"Q1",IF(W_カレンダー[[#This Row],[月]]&lt;=9,"Q2","Q3")))</f>
        <v>Q3</v>
      </c>
    </row>
    <row r="937" spans="1:5" ht="18" customHeight="1" x14ac:dyDescent="0.25">
      <c r="A937" s="27">
        <v>45952</v>
      </c>
      <c r="B937" s="29">
        <f>MONTH(W_カレンダー[[#This Row],[日付]])</f>
        <v>10</v>
      </c>
      <c r="C937" s="1">
        <f>YEAR(W_カレンダー[[#This Row],[日付]])</f>
        <v>2025</v>
      </c>
      <c r="D937" s="1">
        <f>IF(W_カレンダー[[#This Row],[月]]&lt;=3,W_カレンダー[[#This Row],[暦年]]-1,W_カレンダー[[#This Row],[暦年]])</f>
        <v>2025</v>
      </c>
      <c r="E937" s="1" t="str">
        <f>IF(W_カレンダー[[#This Row],[月]]&lt;=3,"Q4",IF(W_カレンダー[[#This Row],[月]]&lt;=6,"Q1",IF(W_カレンダー[[#This Row],[月]]&lt;=9,"Q2","Q3")))</f>
        <v>Q3</v>
      </c>
    </row>
    <row r="938" spans="1:5" ht="18" customHeight="1" x14ac:dyDescent="0.25">
      <c r="A938" s="27">
        <v>45953</v>
      </c>
      <c r="B938" s="29">
        <f>MONTH(W_カレンダー[[#This Row],[日付]])</f>
        <v>10</v>
      </c>
      <c r="C938" s="1">
        <f>YEAR(W_カレンダー[[#This Row],[日付]])</f>
        <v>2025</v>
      </c>
      <c r="D938" s="1">
        <f>IF(W_カレンダー[[#This Row],[月]]&lt;=3,W_カレンダー[[#This Row],[暦年]]-1,W_カレンダー[[#This Row],[暦年]])</f>
        <v>2025</v>
      </c>
      <c r="E938" s="1" t="str">
        <f>IF(W_カレンダー[[#This Row],[月]]&lt;=3,"Q4",IF(W_カレンダー[[#This Row],[月]]&lt;=6,"Q1",IF(W_カレンダー[[#This Row],[月]]&lt;=9,"Q2","Q3")))</f>
        <v>Q3</v>
      </c>
    </row>
    <row r="939" spans="1:5" ht="18" customHeight="1" x14ac:dyDescent="0.25">
      <c r="A939" s="27">
        <v>45954</v>
      </c>
      <c r="B939" s="29">
        <f>MONTH(W_カレンダー[[#This Row],[日付]])</f>
        <v>10</v>
      </c>
      <c r="C939" s="1">
        <f>YEAR(W_カレンダー[[#This Row],[日付]])</f>
        <v>2025</v>
      </c>
      <c r="D939" s="1">
        <f>IF(W_カレンダー[[#This Row],[月]]&lt;=3,W_カレンダー[[#This Row],[暦年]]-1,W_カレンダー[[#This Row],[暦年]])</f>
        <v>2025</v>
      </c>
      <c r="E939" s="1" t="str">
        <f>IF(W_カレンダー[[#This Row],[月]]&lt;=3,"Q4",IF(W_カレンダー[[#This Row],[月]]&lt;=6,"Q1",IF(W_カレンダー[[#This Row],[月]]&lt;=9,"Q2","Q3")))</f>
        <v>Q3</v>
      </c>
    </row>
    <row r="940" spans="1:5" ht="18" customHeight="1" x14ac:dyDescent="0.25">
      <c r="A940" s="27">
        <v>45955</v>
      </c>
      <c r="B940" s="29">
        <f>MONTH(W_カレンダー[[#This Row],[日付]])</f>
        <v>10</v>
      </c>
      <c r="C940" s="1">
        <f>YEAR(W_カレンダー[[#This Row],[日付]])</f>
        <v>2025</v>
      </c>
      <c r="D940" s="1">
        <f>IF(W_カレンダー[[#This Row],[月]]&lt;=3,W_カレンダー[[#This Row],[暦年]]-1,W_カレンダー[[#This Row],[暦年]])</f>
        <v>2025</v>
      </c>
      <c r="E940" s="1" t="str">
        <f>IF(W_カレンダー[[#This Row],[月]]&lt;=3,"Q4",IF(W_カレンダー[[#This Row],[月]]&lt;=6,"Q1",IF(W_カレンダー[[#This Row],[月]]&lt;=9,"Q2","Q3")))</f>
        <v>Q3</v>
      </c>
    </row>
    <row r="941" spans="1:5" ht="18" customHeight="1" x14ac:dyDescent="0.25">
      <c r="A941" s="27">
        <v>45956</v>
      </c>
      <c r="B941" s="29">
        <f>MONTH(W_カレンダー[[#This Row],[日付]])</f>
        <v>10</v>
      </c>
      <c r="C941" s="1">
        <f>YEAR(W_カレンダー[[#This Row],[日付]])</f>
        <v>2025</v>
      </c>
      <c r="D941" s="1">
        <f>IF(W_カレンダー[[#This Row],[月]]&lt;=3,W_カレンダー[[#This Row],[暦年]]-1,W_カレンダー[[#This Row],[暦年]])</f>
        <v>2025</v>
      </c>
      <c r="E941" s="1" t="str">
        <f>IF(W_カレンダー[[#This Row],[月]]&lt;=3,"Q4",IF(W_カレンダー[[#This Row],[月]]&lt;=6,"Q1",IF(W_カレンダー[[#This Row],[月]]&lt;=9,"Q2","Q3")))</f>
        <v>Q3</v>
      </c>
    </row>
    <row r="942" spans="1:5" ht="18" customHeight="1" x14ac:dyDescent="0.25">
      <c r="A942" s="27">
        <v>45957</v>
      </c>
      <c r="B942" s="29">
        <f>MONTH(W_カレンダー[[#This Row],[日付]])</f>
        <v>10</v>
      </c>
      <c r="C942" s="1">
        <f>YEAR(W_カレンダー[[#This Row],[日付]])</f>
        <v>2025</v>
      </c>
      <c r="D942" s="1">
        <f>IF(W_カレンダー[[#This Row],[月]]&lt;=3,W_カレンダー[[#This Row],[暦年]]-1,W_カレンダー[[#This Row],[暦年]])</f>
        <v>2025</v>
      </c>
      <c r="E942" s="1" t="str">
        <f>IF(W_カレンダー[[#This Row],[月]]&lt;=3,"Q4",IF(W_カレンダー[[#This Row],[月]]&lt;=6,"Q1",IF(W_カレンダー[[#This Row],[月]]&lt;=9,"Q2","Q3")))</f>
        <v>Q3</v>
      </c>
    </row>
    <row r="943" spans="1:5" ht="18" customHeight="1" x14ac:dyDescent="0.25">
      <c r="A943" s="27">
        <v>45958</v>
      </c>
      <c r="B943" s="29">
        <f>MONTH(W_カレンダー[[#This Row],[日付]])</f>
        <v>10</v>
      </c>
      <c r="C943" s="1">
        <f>YEAR(W_カレンダー[[#This Row],[日付]])</f>
        <v>2025</v>
      </c>
      <c r="D943" s="1">
        <f>IF(W_カレンダー[[#This Row],[月]]&lt;=3,W_カレンダー[[#This Row],[暦年]]-1,W_カレンダー[[#This Row],[暦年]])</f>
        <v>2025</v>
      </c>
      <c r="E943" s="1" t="str">
        <f>IF(W_カレンダー[[#This Row],[月]]&lt;=3,"Q4",IF(W_カレンダー[[#This Row],[月]]&lt;=6,"Q1",IF(W_カレンダー[[#This Row],[月]]&lt;=9,"Q2","Q3")))</f>
        <v>Q3</v>
      </c>
    </row>
    <row r="944" spans="1:5" ht="18" customHeight="1" x14ac:dyDescent="0.25">
      <c r="A944" s="27">
        <v>45959</v>
      </c>
      <c r="B944" s="29">
        <f>MONTH(W_カレンダー[[#This Row],[日付]])</f>
        <v>10</v>
      </c>
      <c r="C944" s="1">
        <f>YEAR(W_カレンダー[[#This Row],[日付]])</f>
        <v>2025</v>
      </c>
      <c r="D944" s="1">
        <f>IF(W_カレンダー[[#This Row],[月]]&lt;=3,W_カレンダー[[#This Row],[暦年]]-1,W_カレンダー[[#This Row],[暦年]])</f>
        <v>2025</v>
      </c>
      <c r="E944" s="1" t="str">
        <f>IF(W_カレンダー[[#This Row],[月]]&lt;=3,"Q4",IF(W_カレンダー[[#This Row],[月]]&lt;=6,"Q1",IF(W_カレンダー[[#This Row],[月]]&lt;=9,"Q2","Q3")))</f>
        <v>Q3</v>
      </c>
    </row>
    <row r="945" spans="1:5" ht="18" customHeight="1" x14ac:dyDescent="0.25">
      <c r="A945" s="27">
        <v>45960</v>
      </c>
      <c r="B945" s="29">
        <f>MONTH(W_カレンダー[[#This Row],[日付]])</f>
        <v>10</v>
      </c>
      <c r="C945" s="1">
        <f>YEAR(W_カレンダー[[#This Row],[日付]])</f>
        <v>2025</v>
      </c>
      <c r="D945" s="1">
        <f>IF(W_カレンダー[[#This Row],[月]]&lt;=3,W_カレンダー[[#This Row],[暦年]]-1,W_カレンダー[[#This Row],[暦年]])</f>
        <v>2025</v>
      </c>
      <c r="E945" s="1" t="str">
        <f>IF(W_カレンダー[[#This Row],[月]]&lt;=3,"Q4",IF(W_カレンダー[[#This Row],[月]]&lt;=6,"Q1",IF(W_カレンダー[[#This Row],[月]]&lt;=9,"Q2","Q3")))</f>
        <v>Q3</v>
      </c>
    </row>
    <row r="946" spans="1:5" ht="18" customHeight="1" x14ac:dyDescent="0.25">
      <c r="A946" s="27">
        <v>45961</v>
      </c>
      <c r="B946" s="29">
        <f>MONTH(W_カレンダー[[#This Row],[日付]])</f>
        <v>10</v>
      </c>
      <c r="C946" s="1">
        <f>YEAR(W_カレンダー[[#This Row],[日付]])</f>
        <v>2025</v>
      </c>
      <c r="D946" s="1">
        <f>IF(W_カレンダー[[#This Row],[月]]&lt;=3,W_カレンダー[[#This Row],[暦年]]-1,W_カレンダー[[#This Row],[暦年]])</f>
        <v>2025</v>
      </c>
      <c r="E946" s="1" t="str">
        <f>IF(W_カレンダー[[#This Row],[月]]&lt;=3,"Q4",IF(W_カレンダー[[#This Row],[月]]&lt;=6,"Q1",IF(W_カレンダー[[#This Row],[月]]&lt;=9,"Q2","Q3")))</f>
        <v>Q3</v>
      </c>
    </row>
    <row r="947" spans="1:5" ht="18" customHeight="1" x14ac:dyDescent="0.25">
      <c r="A947" s="27">
        <v>45962</v>
      </c>
      <c r="B947" s="29">
        <f>MONTH(W_カレンダー[[#This Row],[日付]])</f>
        <v>11</v>
      </c>
      <c r="C947" s="1">
        <f>YEAR(W_カレンダー[[#This Row],[日付]])</f>
        <v>2025</v>
      </c>
      <c r="D947" s="1">
        <f>IF(W_カレンダー[[#This Row],[月]]&lt;=3,W_カレンダー[[#This Row],[暦年]]-1,W_カレンダー[[#This Row],[暦年]])</f>
        <v>2025</v>
      </c>
      <c r="E947" s="1" t="str">
        <f>IF(W_カレンダー[[#This Row],[月]]&lt;=3,"Q4",IF(W_カレンダー[[#This Row],[月]]&lt;=6,"Q1",IF(W_カレンダー[[#This Row],[月]]&lt;=9,"Q2","Q3")))</f>
        <v>Q3</v>
      </c>
    </row>
    <row r="948" spans="1:5" ht="18" customHeight="1" x14ac:dyDescent="0.25">
      <c r="A948" s="27">
        <v>45963</v>
      </c>
      <c r="B948" s="29">
        <f>MONTH(W_カレンダー[[#This Row],[日付]])</f>
        <v>11</v>
      </c>
      <c r="C948" s="1">
        <f>YEAR(W_カレンダー[[#This Row],[日付]])</f>
        <v>2025</v>
      </c>
      <c r="D948" s="1">
        <f>IF(W_カレンダー[[#This Row],[月]]&lt;=3,W_カレンダー[[#This Row],[暦年]]-1,W_カレンダー[[#This Row],[暦年]])</f>
        <v>2025</v>
      </c>
      <c r="E948" s="1" t="str">
        <f>IF(W_カレンダー[[#This Row],[月]]&lt;=3,"Q4",IF(W_カレンダー[[#This Row],[月]]&lt;=6,"Q1",IF(W_カレンダー[[#This Row],[月]]&lt;=9,"Q2","Q3")))</f>
        <v>Q3</v>
      </c>
    </row>
    <row r="949" spans="1:5" ht="18" customHeight="1" x14ac:dyDescent="0.25">
      <c r="A949" s="27">
        <v>45964</v>
      </c>
      <c r="B949" s="29">
        <f>MONTH(W_カレンダー[[#This Row],[日付]])</f>
        <v>11</v>
      </c>
      <c r="C949" s="1">
        <f>YEAR(W_カレンダー[[#This Row],[日付]])</f>
        <v>2025</v>
      </c>
      <c r="D949" s="1">
        <f>IF(W_カレンダー[[#This Row],[月]]&lt;=3,W_カレンダー[[#This Row],[暦年]]-1,W_カレンダー[[#This Row],[暦年]])</f>
        <v>2025</v>
      </c>
      <c r="E949" s="1" t="str">
        <f>IF(W_カレンダー[[#This Row],[月]]&lt;=3,"Q4",IF(W_カレンダー[[#This Row],[月]]&lt;=6,"Q1",IF(W_カレンダー[[#This Row],[月]]&lt;=9,"Q2","Q3")))</f>
        <v>Q3</v>
      </c>
    </row>
    <row r="950" spans="1:5" ht="18" customHeight="1" x14ac:dyDescent="0.25">
      <c r="A950" s="27">
        <v>45965</v>
      </c>
      <c r="B950" s="29">
        <f>MONTH(W_カレンダー[[#This Row],[日付]])</f>
        <v>11</v>
      </c>
      <c r="C950" s="1">
        <f>YEAR(W_カレンダー[[#This Row],[日付]])</f>
        <v>2025</v>
      </c>
      <c r="D950" s="1">
        <f>IF(W_カレンダー[[#This Row],[月]]&lt;=3,W_カレンダー[[#This Row],[暦年]]-1,W_カレンダー[[#This Row],[暦年]])</f>
        <v>2025</v>
      </c>
      <c r="E950" s="1" t="str">
        <f>IF(W_カレンダー[[#This Row],[月]]&lt;=3,"Q4",IF(W_カレンダー[[#This Row],[月]]&lt;=6,"Q1",IF(W_カレンダー[[#This Row],[月]]&lt;=9,"Q2","Q3")))</f>
        <v>Q3</v>
      </c>
    </row>
    <row r="951" spans="1:5" ht="18" customHeight="1" x14ac:dyDescent="0.25">
      <c r="A951" s="27">
        <v>45966</v>
      </c>
      <c r="B951" s="29">
        <f>MONTH(W_カレンダー[[#This Row],[日付]])</f>
        <v>11</v>
      </c>
      <c r="C951" s="1">
        <f>YEAR(W_カレンダー[[#This Row],[日付]])</f>
        <v>2025</v>
      </c>
      <c r="D951" s="1">
        <f>IF(W_カレンダー[[#This Row],[月]]&lt;=3,W_カレンダー[[#This Row],[暦年]]-1,W_カレンダー[[#This Row],[暦年]])</f>
        <v>2025</v>
      </c>
      <c r="E951" s="1" t="str">
        <f>IF(W_カレンダー[[#This Row],[月]]&lt;=3,"Q4",IF(W_カレンダー[[#This Row],[月]]&lt;=6,"Q1",IF(W_カレンダー[[#This Row],[月]]&lt;=9,"Q2","Q3")))</f>
        <v>Q3</v>
      </c>
    </row>
    <row r="952" spans="1:5" ht="18" customHeight="1" x14ac:dyDescent="0.25">
      <c r="A952" s="27">
        <v>45967</v>
      </c>
      <c r="B952" s="29">
        <f>MONTH(W_カレンダー[[#This Row],[日付]])</f>
        <v>11</v>
      </c>
      <c r="C952" s="1">
        <f>YEAR(W_カレンダー[[#This Row],[日付]])</f>
        <v>2025</v>
      </c>
      <c r="D952" s="1">
        <f>IF(W_カレンダー[[#This Row],[月]]&lt;=3,W_カレンダー[[#This Row],[暦年]]-1,W_カレンダー[[#This Row],[暦年]])</f>
        <v>2025</v>
      </c>
      <c r="E952" s="1" t="str">
        <f>IF(W_カレンダー[[#This Row],[月]]&lt;=3,"Q4",IF(W_カレンダー[[#This Row],[月]]&lt;=6,"Q1",IF(W_カレンダー[[#This Row],[月]]&lt;=9,"Q2","Q3")))</f>
        <v>Q3</v>
      </c>
    </row>
    <row r="953" spans="1:5" ht="18" customHeight="1" x14ac:dyDescent="0.25">
      <c r="A953" s="27">
        <v>45968</v>
      </c>
      <c r="B953" s="29">
        <f>MONTH(W_カレンダー[[#This Row],[日付]])</f>
        <v>11</v>
      </c>
      <c r="C953" s="1">
        <f>YEAR(W_カレンダー[[#This Row],[日付]])</f>
        <v>2025</v>
      </c>
      <c r="D953" s="1">
        <f>IF(W_カレンダー[[#This Row],[月]]&lt;=3,W_カレンダー[[#This Row],[暦年]]-1,W_カレンダー[[#This Row],[暦年]])</f>
        <v>2025</v>
      </c>
      <c r="E953" s="1" t="str">
        <f>IF(W_カレンダー[[#This Row],[月]]&lt;=3,"Q4",IF(W_カレンダー[[#This Row],[月]]&lt;=6,"Q1",IF(W_カレンダー[[#This Row],[月]]&lt;=9,"Q2","Q3")))</f>
        <v>Q3</v>
      </c>
    </row>
    <row r="954" spans="1:5" ht="18" customHeight="1" x14ac:dyDescent="0.25">
      <c r="A954" s="27">
        <v>45969</v>
      </c>
      <c r="B954" s="29">
        <f>MONTH(W_カレンダー[[#This Row],[日付]])</f>
        <v>11</v>
      </c>
      <c r="C954" s="1">
        <f>YEAR(W_カレンダー[[#This Row],[日付]])</f>
        <v>2025</v>
      </c>
      <c r="D954" s="1">
        <f>IF(W_カレンダー[[#This Row],[月]]&lt;=3,W_カレンダー[[#This Row],[暦年]]-1,W_カレンダー[[#This Row],[暦年]])</f>
        <v>2025</v>
      </c>
      <c r="E954" s="1" t="str">
        <f>IF(W_カレンダー[[#This Row],[月]]&lt;=3,"Q4",IF(W_カレンダー[[#This Row],[月]]&lt;=6,"Q1",IF(W_カレンダー[[#This Row],[月]]&lt;=9,"Q2","Q3")))</f>
        <v>Q3</v>
      </c>
    </row>
    <row r="955" spans="1:5" ht="18" customHeight="1" x14ac:dyDescent="0.25">
      <c r="A955" s="27">
        <v>45970</v>
      </c>
      <c r="B955" s="29">
        <f>MONTH(W_カレンダー[[#This Row],[日付]])</f>
        <v>11</v>
      </c>
      <c r="C955" s="1">
        <f>YEAR(W_カレンダー[[#This Row],[日付]])</f>
        <v>2025</v>
      </c>
      <c r="D955" s="1">
        <f>IF(W_カレンダー[[#This Row],[月]]&lt;=3,W_カレンダー[[#This Row],[暦年]]-1,W_カレンダー[[#This Row],[暦年]])</f>
        <v>2025</v>
      </c>
      <c r="E955" s="1" t="str">
        <f>IF(W_カレンダー[[#This Row],[月]]&lt;=3,"Q4",IF(W_カレンダー[[#This Row],[月]]&lt;=6,"Q1",IF(W_カレンダー[[#This Row],[月]]&lt;=9,"Q2","Q3")))</f>
        <v>Q3</v>
      </c>
    </row>
    <row r="956" spans="1:5" ht="18" customHeight="1" x14ac:dyDescent="0.25">
      <c r="A956" s="27">
        <v>45971</v>
      </c>
      <c r="B956" s="29">
        <f>MONTH(W_カレンダー[[#This Row],[日付]])</f>
        <v>11</v>
      </c>
      <c r="C956" s="1">
        <f>YEAR(W_カレンダー[[#This Row],[日付]])</f>
        <v>2025</v>
      </c>
      <c r="D956" s="1">
        <f>IF(W_カレンダー[[#This Row],[月]]&lt;=3,W_カレンダー[[#This Row],[暦年]]-1,W_カレンダー[[#This Row],[暦年]])</f>
        <v>2025</v>
      </c>
      <c r="E956" s="1" t="str">
        <f>IF(W_カレンダー[[#This Row],[月]]&lt;=3,"Q4",IF(W_カレンダー[[#This Row],[月]]&lt;=6,"Q1",IF(W_カレンダー[[#This Row],[月]]&lt;=9,"Q2","Q3")))</f>
        <v>Q3</v>
      </c>
    </row>
    <row r="957" spans="1:5" ht="18" customHeight="1" x14ac:dyDescent="0.25">
      <c r="A957" s="27">
        <v>45972</v>
      </c>
      <c r="B957" s="29">
        <f>MONTH(W_カレンダー[[#This Row],[日付]])</f>
        <v>11</v>
      </c>
      <c r="C957" s="1">
        <f>YEAR(W_カレンダー[[#This Row],[日付]])</f>
        <v>2025</v>
      </c>
      <c r="D957" s="1">
        <f>IF(W_カレンダー[[#This Row],[月]]&lt;=3,W_カレンダー[[#This Row],[暦年]]-1,W_カレンダー[[#This Row],[暦年]])</f>
        <v>2025</v>
      </c>
      <c r="E957" s="1" t="str">
        <f>IF(W_カレンダー[[#This Row],[月]]&lt;=3,"Q4",IF(W_カレンダー[[#This Row],[月]]&lt;=6,"Q1",IF(W_カレンダー[[#This Row],[月]]&lt;=9,"Q2","Q3")))</f>
        <v>Q3</v>
      </c>
    </row>
    <row r="958" spans="1:5" ht="18" customHeight="1" x14ac:dyDescent="0.25">
      <c r="A958" s="27">
        <v>45973</v>
      </c>
      <c r="B958" s="29">
        <f>MONTH(W_カレンダー[[#This Row],[日付]])</f>
        <v>11</v>
      </c>
      <c r="C958" s="1">
        <f>YEAR(W_カレンダー[[#This Row],[日付]])</f>
        <v>2025</v>
      </c>
      <c r="D958" s="1">
        <f>IF(W_カレンダー[[#This Row],[月]]&lt;=3,W_カレンダー[[#This Row],[暦年]]-1,W_カレンダー[[#This Row],[暦年]])</f>
        <v>2025</v>
      </c>
      <c r="E958" s="1" t="str">
        <f>IF(W_カレンダー[[#This Row],[月]]&lt;=3,"Q4",IF(W_カレンダー[[#This Row],[月]]&lt;=6,"Q1",IF(W_カレンダー[[#This Row],[月]]&lt;=9,"Q2","Q3")))</f>
        <v>Q3</v>
      </c>
    </row>
    <row r="959" spans="1:5" ht="18" customHeight="1" x14ac:dyDescent="0.25">
      <c r="A959" s="27">
        <v>45974</v>
      </c>
      <c r="B959" s="29">
        <f>MONTH(W_カレンダー[[#This Row],[日付]])</f>
        <v>11</v>
      </c>
      <c r="C959" s="1">
        <f>YEAR(W_カレンダー[[#This Row],[日付]])</f>
        <v>2025</v>
      </c>
      <c r="D959" s="1">
        <f>IF(W_カレンダー[[#This Row],[月]]&lt;=3,W_カレンダー[[#This Row],[暦年]]-1,W_カレンダー[[#This Row],[暦年]])</f>
        <v>2025</v>
      </c>
      <c r="E959" s="1" t="str">
        <f>IF(W_カレンダー[[#This Row],[月]]&lt;=3,"Q4",IF(W_カレンダー[[#This Row],[月]]&lt;=6,"Q1",IF(W_カレンダー[[#This Row],[月]]&lt;=9,"Q2","Q3")))</f>
        <v>Q3</v>
      </c>
    </row>
    <row r="960" spans="1:5" ht="18" customHeight="1" x14ac:dyDescent="0.25">
      <c r="A960" s="27">
        <v>45975</v>
      </c>
      <c r="B960" s="29">
        <f>MONTH(W_カレンダー[[#This Row],[日付]])</f>
        <v>11</v>
      </c>
      <c r="C960" s="1">
        <f>YEAR(W_カレンダー[[#This Row],[日付]])</f>
        <v>2025</v>
      </c>
      <c r="D960" s="1">
        <f>IF(W_カレンダー[[#This Row],[月]]&lt;=3,W_カレンダー[[#This Row],[暦年]]-1,W_カレンダー[[#This Row],[暦年]])</f>
        <v>2025</v>
      </c>
      <c r="E960" s="1" t="str">
        <f>IF(W_カレンダー[[#This Row],[月]]&lt;=3,"Q4",IF(W_カレンダー[[#This Row],[月]]&lt;=6,"Q1",IF(W_カレンダー[[#This Row],[月]]&lt;=9,"Q2","Q3")))</f>
        <v>Q3</v>
      </c>
    </row>
    <row r="961" spans="1:5" ht="18" customHeight="1" x14ac:dyDescent="0.25">
      <c r="A961" s="27">
        <v>45976</v>
      </c>
      <c r="B961" s="29">
        <f>MONTH(W_カレンダー[[#This Row],[日付]])</f>
        <v>11</v>
      </c>
      <c r="C961" s="1">
        <f>YEAR(W_カレンダー[[#This Row],[日付]])</f>
        <v>2025</v>
      </c>
      <c r="D961" s="1">
        <f>IF(W_カレンダー[[#This Row],[月]]&lt;=3,W_カレンダー[[#This Row],[暦年]]-1,W_カレンダー[[#This Row],[暦年]])</f>
        <v>2025</v>
      </c>
      <c r="E961" s="1" t="str">
        <f>IF(W_カレンダー[[#This Row],[月]]&lt;=3,"Q4",IF(W_カレンダー[[#This Row],[月]]&lt;=6,"Q1",IF(W_カレンダー[[#This Row],[月]]&lt;=9,"Q2","Q3")))</f>
        <v>Q3</v>
      </c>
    </row>
    <row r="962" spans="1:5" ht="18" customHeight="1" x14ac:dyDescent="0.25">
      <c r="A962" s="27">
        <v>45977</v>
      </c>
      <c r="B962" s="29">
        <f>MONTH(W_カレンダー[[#This Row],[日付]])</f>
        <v>11</v>
      </c>
      <c r="C962" s="1">
        <f>YEAR(W_カレンダー[[#This Row],[日付]])</f>
        <v>2025</v>
      </c>
      <c r="D962" s="1">
        <f>IF(W_カレンダー[[#This Row],[月]]&lt;=3,W_カレンダー[[#This Row],[暦年]]-1,W_カレンダー[[#This Row],[暦年]])</f>
        <v>2025</v>
      </c>
      <c r="E962" s="1" t="str">
        <f>IF(W_カレンダー[[#This Row],[月]]&lt;=3,"Q4",IF(W_カレンダー[[#This Row],[月]]&lt;=6,"Q1",IF(W_カレンダー[[#This Row],[月]]&lt;=9,"Q2","Q3")))</f>
        <v>Q3</v>
      </c>
    </row>
    <row r="963" spans="1:5" ht="18" customHeight="1" x14ac:dyDescent="0.25">
      <c r="A963" s="27">
        <v>45978</v>
      </c>
      <c r="B963" s="29">
        <f>MONTH(W_カレンダー[[#This Row],[日付]])</f>
        <v>11</v>
      </c>
      <c r="C963" s="1">
        <f>YEAR(W_カレンダー[[#This Row],[日付]])</f>
        <v>2025</v>
      </c>
      <c r="D963" s="1">
        <f>IF(W_カレンダー[[#This Row],[月]]&lt;=3,W_カレンダー[[#This Row],[暦年]]-1,W_カレンダー[[#This Row],[暦年]])</f>
        <v>2025</v>
      </c>
      <c r="E963" s="1" t="str">
        <f>IF(W_カレンダー[[#This Row],[月]]&lt;=3,"Q4",IF(W_カレンダー[[#This Row],[月]]&lt;=6,"Q1",IF(W_カレンダー[[#This Row],[月]]&lt;=9,"Q2","Q3")))</f>
        <v>Q3</v>
      </c>
    </row>
    <row r="964" spans="1:5" ht="18" customHeight="1" x14ac:dyDescent="0.25">
      <c r="A964" s="27">
        <v>45979</v>
      </c>
      <c r="B964" s="29">
        <f>MONTH(W_カレンダー[[#This Row],[日付]])</f>
        <v>11</v>
      </c>
      <c r="C964" s="1">
        <f>YEAR(W_カレンダー[[#This Row],[日付]])</f>
        <v>2025</v>
      </c>
      <c r="D964" s="1">
        <f>IF(W_カレンダー[[#This Row],[月]]&lt;=3,W_カレンダー[[#This Row],[暦年]]-1,W_カレンダー[[#This Row],[暦年]])</f>
        <v>2025</v>
      </c>
      <c r="E964" s="1" t="str">
        <f>IF(W_カレンダー[[#This Row],[月]]&lt;=3,"Q4",IF(W_カレンダー[[#This Row],[月]]&lt;=6,"Q1",IF(W_カレンダー[[#This Row],[月]]&lt;=9,"Q2","Q3")))</f>
        <v>Q3</v>
      </c>
    </row>
    <row r="965" spans="1:5" ht="18" customHeight="1" x14ac:dyDescent="0.25">
      <c r="A965" s="27">
        <v>45980</v>
      </c>
      <c r="B965" s="29">
        <f>MONTH(W_カレンダー[[#This Row],[日付]])</f>
        <v>11</v>
      </c>
      <c r="C965" s="1">
        <f>YEAR(W_カレンダー[[#This Row],[日付]])</f>
        <v>2025</v>
      </c>
      <c r="D965" s="1">
        <f>IF(W_カレンダー[[#This Row],[月]]&lt;=3,W_カレンダー[[#This Row],[暦年]]-1,W_カレンダー[[#This Row],[暦年]])</f>
        <v>2025</v>
      </c>
      <c r="E965" s="1" t="str">
        <f>IF(W_カレンダー[[#This Row],[月]]&lt;=3,"Q4",IF(W_カレンダー[[#This Row],[月]]&lt;=6,"Q1",IF(W_カレンダー[[#This Row],[月]]&lt;=9,"Q2","Q3")))</f>
        <v>Q3</v>
      </c>
    </row>
    <row r="966" spans="1:5" ht="18" customHeight="1" x14ac:dyDescent="0.25">
      <c r="A966" s="27">
        <v>45981</v>
      </c>
      <c r="B966" s="29">
        <f>MONTH(W_カレンダー[[#This Row],[日付]])</f>
        <v>11</v>
      </c>
      <c r="C966" s="1">
        <f>YEAR(W_カレンダー[[#This Row],[日付]])</f>
        <v>2025</v>
      </c>
      <c r="D966" s="1">
        <f>IF(W_カレンダー[[#This Row],[月]]&lt;=3,W_カレンダー[[#This Row],[暦年]]-1,W_カレンダー[[#This Row],[暦年]])</f>
        <v>2025</v>
      </c>
      <c r="E966" s="1" t="str">
        <f>IF(W_カレンダー[[#This Row],[月]]&lt;=3,"Q4",IF(W_カレンダー[[#This Row],[月]]&lt;=6,"Q1",IF(W_カレンダー[[#This Row],[月]]&lt;=9,"Q2","Q3")))</f>
        <v>Q3</v>
      </c>
    </row>
    <row r="967" spans="1:5" ht="18" customHeight="1" x14ac:dyDescent="0.25">
      <c r="A967" s="27">
        <v>45982</v>
      </c>
      <c r="B967" s="29">
        <f>MONTH(W_カレンダー[[#This Row],[日付]])</f>
        <v>11</v>
      </c>
      <c r="C967" s="1">
        <f>YEAR(W_カレンダー[[#This Row],[日付]])</f>
        <v>2025</v>
      </c>
      <c r="D967" s="1">
        <f>IF(W_カレンダー[[#This Row],[月]]&lt;=3,W_カレンダー[[#This Row],[暦年]]-1,W_カレンダー[[#This Row],[暦年]])</f>
        <v>2025</v>
      </c>
      <c r="E967" s="1" t="str">
        <f>IF(W_カレンダー[[#This Row],[月]]&lt;=3,"Q4",IF(W_カレンダー[[#This Row],[月]]&lt;=6,"Q1",IF(W_カレンダー[[#This Row],[月]]&lt;=9,"Q2","Q3")))</f>
        <v>Q3</v>
      </c>
    </row>
    <row r="968" spans="1:5" ht="18" customHeight="1" x14ac:dyDescent="0.25">
      <c r="A968" s="27">
        <v>45983</v>
      </c>
      <c r="B968" s="29">
        <f>MONTH(W_カレンダー[[#This Row],[日付]])</f>
        <v>11</v>
      </c>
      <c r="C968" s="1">
        <f>YEAR(W_カレンダー[[#This Row],[日付]])</f>
        <v>2025</v>
      </c>
      <c r="D968" s="1">
        <f>IF(W_カレンダー[[#This Row],[月]]&lt;=3,W_カレンダー[[#This Row],[暦年]]-1,W_カレンダー[[#This Row],[暦年]])</f>
        <v>2025</v>
      </c>
      <c r="E968" s="1" t="str">
        <f>IF(W_カレンダー[[#This Row],[月]]&lt;=3,"Q4",IF(W_カレンダー[[#This Row],[月]]&lt;=6,"Q1",IF(W_カレンダー[[#This Row],[月]]&lt;=9,"Q2","Q3")))</f>
        <v>Q3</v>
      </c>
    </row>
    <row r="969" spans="1:5" ht="18" customHeight="1" x14ac:dyDescent="0.25">
      <c r="A969" s="27">
        <v>45984</v>
      </c>
      <c r="B969" s="29">
        <f>MONTH(W_カレンダー[[#This Row],[日付]])</f>
        <v>11</v>
      </c>
      <c r="C969" s="1">
        <f>YEAR(W_カレンダー[[#This Row],[日付]])</f>
        <v>2025</v>
      </c>
      <c r="D969" s="1">
        <f>IF(W_カレンダー[[#This Row],[月]]&lt;=3,W_カレンダー[[#This Row],[暦年]]-1,W_カレンダー[[#This Row],[暦年]])</f>
        <v>2025</v>
      </c>
      <c r="E969" s="1" t="str">
        <f>IF(W_カレンダー[[#This Row],[月]]&lt;=3,"Q4",IF(W_カレンダー[[#This Row],[月]]&lt;=6,"Q1",IF(W_カレンダー[[#This Row],[月]]&lt;=9,"Q2","Q3")))</f>
        <v>Q3</v>
      </c>
    </row>
    <row r="970" spans="1:5" ht="18" customHeight="1" x14ac:dyDescent="0.25">
      <c r="A970" s="27">
        <v>45985</v>
      </c>
      <c r="B970" s="29">
        <f>MONTH(W_カレンダー[[#This Row],[日付]])</f>
        <v>11</v>
      </c>
      <c r="C970" s="1">
        <f>YEAR(W_カレンダー[[#This Row],[日付]])</f>
        <v>2025</v>
      </c>
      <c r="D970" s="1">
        <f>IF(W_カレンダー[[#This Row],[月]]&lt;=3,W_カレンダー[[#This Row],[暦年]]-1,W_カレンダー[[#This Row],[暦年]])</f>
        <v>2025</v>
      </c>
      <c r="E970" s="1" t="str">
        <f>IF(W_カレンダー[[#This Row],[月]]&lt;=3,"Q4",IF(W_カレンダー[[#This Row],[月]]&lt;=6,"Q1",IF(W_カレンダー[[#This Row],[月]]&lt;=9,"Q2","Q3")))</f>
        <v>Q3</v>
      </c>
    </row>
    <row r="971" spans="1:5" ht="18" customHeight="1" x14ac:dyDescent="0.25">
      <c r="A971" s="27">
        <v>45986</v>
      </c>
      <c r="B971" s="29">
        <f>MONTH(W_カレンダー[[#This Row],[日付]])</f>
        <v>11</v>
      </c>
      <c r="C971" s="1">
        <f>YEAR(W_カレンダー[[#This Row],[日付]])</f>
        <v>2025</v>
      </c>
      <c r="D971" s="1">
        <f>IF(W_カレンダー[[#This Row],[月]]&lt;=3,W_カレンダー[[#This Row],[暦年]]-1,W_カレンダー[[#This Row],[暦年]])</f>
        <v>2025</v>
      </c>
      <c r="E971" s="1" t="str">
        <f>IF(W_カレンダー[[#This Row],[月]]&lt;=3,"Q4",IF(W_カレンダー[[#This Row],[月]]&lt;=6,"Q1",IF(W_カレンダー[[#This Row],[月]]&lt;=9,"Q2","Q3")))</f>
        <v>Q3</v>
      </c>
    </row>
    <row r="972" spans="1:5" ht="18" customHeight="1" x14ac:dyDescent="0.25">
      <c r="A972" s="27">
        <v>45987</v>
      </c>
      <c r="B972" s="29">
        <f>MONTH(W_カレンダー[[#This Row],[日付]])</f>
        <v>11</v>
      </c>
      <c r="C972" s="1">
        <f>YEAR(W_カレンダー[[#This Row],[日付]])</f>
        <v>2025</v>
      </c>
      <c r="D972" s="1">
        <f>IF(W_カレンダー[[#This Row],[月]]&lt;=3,W_カレンダー[[#This Row],[暦年]]-1,W_カレンダー[[#This Row],[暦年]])</f>
        <v>2025</v>
      </c>
      <c r="E972" s="1" t="str">
        <f>IF(W_カレンダー[[#This Row],[月]]&lt;=3,"Q4",IF(W_カレンダー[[#This Row],[月]]&lt;=6,"Q1",IF(W_カレンダー[[#This Row],[月]]&lt;=9,"Q2","Q3")))</f>
        <v>Q3</v>
      </c>
    </row>
    <row r="973" spans="1:5" ht="18" customHeight="1" x14ac:dyDescent="0.25">
      <c r="A973" s="27">
        <v>45988</v>
      </c>
      <c r="B973" s="29">
        <f>MONTH(W_カレンダー[[#This Row],[日付]])</f>
        <v>11</v>
      </c>
      <c r="C973" s="1">
        <f>YEAR(W_カレンダー[[#This Row],[日付]])</f>
        <v>2025</v>
      </c>
      <c r="D973" s="1">
        <f>IF(W_カレンダー[[#This Row],[月]]&lt;=3,W_カレンダー[[#This Row],[暦年]]-1,W_カレンダー[[#This Row],[暦年]])</f>
        <v>2025</v>
      </c>
      <c r="E973" s="1" t="str">
        <f>IF(W_カレンダー[[#This Row],[月]]&lt;=3,"Q4",IF(W_カレンダー[[#This Row],[月]]&lt;=6,"Q1",IF(W_カレンダー[[#This Row],[月]]&lt;=9,"Q2","Q3")))</f>
        <v>Q3</v>
      </c>
    </row>
    <row r="974" spans="1:5" ht="18" customHeight="1" x14ac:dyDescent="0.25">
      <c r="A974" s="27">
        <v>45989</v>
      </c>
      <c r="B974" s="29">
        <f>MONTH(W_カレンダー[[#This Row],[日付]])</f>
        <v>11</v>
      </c>
      <c r="C974" s="1">
        <f>YEAR(W_カレンダー[[#This Row],[日付]])</f>
        <v>2025</v>
      </c>
      <c r="D974" s="1">
        <f>IF(W_カレンダー[[#This Row],[月]]&lt;=3,W_カレンダー[[#This Row],[暦年]]-1,W_カレンダー[[#This Row],[暦年]])</f>
        <v>2025</v>
      </c>
      <c r="E974" s="1" t="str">
        <f>IF(W_カレンダー[[#This Row],[月]]&lt;=3,"Q4",IF(W_カレンダー[[#This Row],[月]]&lt;=6,"Q1",IF(W_カレンダー[[#This Row],[月]]&lt;=9,"Q2","Q3")))</f>
        <v>Q3</v>
      </c>
    </row>
    <row r="975" spans="1:5" ht="18" customHeight="1" x14ac:dyDescent="0.25">
      <c r="A975" s="27">
        <v>45990</v>
      </c>
      <c r="B975" s="29">
        <f>MONTH(W_カレンダー[[#This Row],[日付]])</f>
        <v>11</v>
      </c>
      <c r="C975" s="1">
        <f>YEAR(W_カレンダー[[#This Row],[日付]])</f>
        <v>2025</v>
      </c>
      <c r="D975" s="1">
        <f>IF(W_カレンダー[[#This Row],[月]]&lt;=3,W_カレンダー[[#This Row],[暦年]]-1,W_カレンダー[[#This Row],[暦年]])</f>
        <v>2025</v>
      </c>
      <c r="E975" s="1" t="str">
        <f>IF(W_カレンダー[[#This Row],[月]]&lt;=3,"Q4",IF(W_カレンダー[[#This Row],[月]]&lt;=6,"Q1",IF(W_カレンダー[[#This Row],[月]]&lt;=9,"Q2","Q3")))</f>
        <v>Q3</v>
      </c>
    </row>
    <row r="976" spans="1:5" ht="18" customHeight="1" x14ac:dyDescent="0.25">
      <c r="A976" s="27">
        <v>45991</v>
      </c>
      <c r="B976" s="29">
        <f>MONTH(W_カレンダー[[#This Row],[日付]])</f>
        <v>11</v>
      </c>
      <c r="C976" s="1">
        <f>YEAR(W_カレンダー[[#This Row],[日付]])</f>
        <v>2025</v>
      </c>
      <c r="D976" s="1">
        <f>IF(W_カレンダー[[#This Row],[月]]&lt;=3,W_カレンダー[[#This Row],[暦年]]-1,W_カレンダー[[#This Row],[暦年]])</f>
        <v>2025</v>
      </c>
      <c r="E976" s="1" t="str">
        <f>IF(W_カレンダー[[#This Row],[月]]&lt;=3,"Q4",IF(W_カレンダー[[#This Row],[月]]&lt;=6,"Q1",IF(W_カレンダー[[#This Row],[月]]&lt;=9,"Q2","Q3")))</f>
        <v>Q3</v>
      </c>
    </row>
    <row r="977" spans="1:5" ht="18" customHeight="1" x14ac:dyDescent="0.25">
      <c r="A977" s="27">
        <v>45992</v>
      </c>
      <c r="B977" s="29">
        <f>MONTH(W_カレンダー[[#This Row],[日付]])</f>
        <v>12</v>
      </c>
      <c r="C977" s="1">
        <f>YEAR(W_カレンダー[[#This Row],[日付]])</f>
        <v>2025</v>
      </c>
      <c r="D977" s="1">
        <f>IF(W_カレンダー[[#This Row],[月]]&lt;=3,W_カレンダー[[#This Row],[暦年]]-1,W_カレンダー[[#This Row],[暦年]])</f>
        <v>2025</v>
      </c>
      <c r="E977" s="1" t="str">
        <f>IF(W_カレンダー[[#This Row],[月]]&lt;=3,"Q4",IF(W_カレンダー[[#This Row],[月]]&lt;=6,"Q1",IF(W_カレンダー[[#This Row],[月]]&lt;=9,"Q2","Q3")))</f>
        <v>Q3</v>
      </c>
    </row>
    <row r="978" spans="1:5" ht="18" customHeight="1" x14ac:dyDescent="0.25">
      <c r="A978" s="27">
        <v>45993</v>
      </c>
      <c r="B978" s="29">
        <f>MONTH(W_カレンダー[[#This Row],[日付]])</f>
        <v>12</v>
      </c>
      <c r="C978" s="1">
        <f>YEAR(W_カレンダー[[#This Row],[日付]])</f>
        <v>2025</v>
      </c>
      <c r="D978" s="1">
        <f>IF(W_カレンダー[[#This Row],[月]]&lt;=3,W_カレンダー[[#This Row],[暦年]]-1,W_カレンダー[[#This Row],[暦年]])</f>
        <v>2025</v>
      </c>
      <c r="E978" s="1" t="str">
        <f>IF(W_カレンダー[[#This Row],[月]]&lt;=3,"Q4",IF(W_カレンダー[[#This Row],[月]]&lt;=6,"Q1",IF(W_カレンダー[[#This Row],[月]]&lt;=9,"Q2","Q3")))</f>
        <v>Q3</v>
      </c>
    </row>
    <row r="979" spans="1:5" ht="18" customHeight="1" x14ac:dyDescent="0.25">
      <c r="A979" s="27">
        <v>45994</v>
      </c>
      <c r="B979" s="29">
        <f>MONTH(W_カレンダー[[#This Row],[日付]])</f>
        <v>12</v>
      </c>
      <c r="C979" s="1">
        <f>YEAR(W_カレンダー[[#This Row],[日付]])</f>
        <v>2025</v>
      </c>
      <c r="D979" s="1">
        <f>IF(W_カレンダー[[#This Row],[月]]&lt;=3,W_カレンダー[[#This Row],[暦年]]-1,W_カレンダー[[#This Row],[暦年]])</f>
        <v>2025</v>
      </c>
      <c r="E979" s="1" t="str">
        <f>IF(W_カレンダー[[#This Row],[月]]&lt;=3,"Q4",IF(W_カレンダー[[#This Row],[月]]&lt;=6,"Q1",IF(W_カレンダー[[#This Row],[月]]&lt;=9,"Q2","Q3")))</f>
        <v>Q3</v>
      </c>
    </row>
    <row r="980" spans="1:5" ht="18" customHeight="1" x14ac:dyDescent="0.25">
      <c r="A980" s="27">
        <v>45995</v>
      </c>
      <c r="B980" s="29">
        <f>MONTH(W_カレンダー[[#This Row],[日付]])</f>
        <v>12</v>
      </c>
      <c r="C980" s="1">
        <f>YEAR(W_カレンダー[[#This Row],[日付]])</f>
        <v>2025</v>
      </c>
      <c r="D980" s="1">
        <f>IF(W_カレンダー[[#This Row],[月]]&lt;=3,W_カレンダー[[#This Row],[暦年]]-1,W_カレンダー[[#This Row],[暦年]])</f>
        <v>2025</v>
      </c>
      <c r="E980" s="1" t="str">
        <f>IF(W_カレンダー[[#This Row],[月]]&lt;=3,"Q4",IF(W_カレンダー[[#This Row],[月]]&lt;=6,"Q1",IF(W_カレンダー[[#This Row],[月]]&lt;=9,"Q2","Q3")))</f>
        <v>Q3</v>
      </c>
    </row>
    <row r="981" spans="1:5" ht="18" customHeight="1" x14ac:dyDescent="0.25">
      <c r="A981" s="27">
        <v>45996</v>
      </c>
      <c r="B981" s="29">
        <f>MONTH(W_カレンダー[[#This Row],[日付]])</f>
        <v>12</v>
      </c>
      <c r="C981" s="1">
        <f>YEAR(W_カレンダー[[#This Row],[日付]])</f>
        <v>2025</v>
      </c>
      <c r="D981" s="1">
        <f>IF(W_カレンダー[[#This Row],[月]]&lt;=3,W_カレンダー[[#This Row],[暦年]]-1,W_カレンダー[[#This Row],[暦年]])</f>
        <v>2025</v>
      </c>
      <c r="E981" s="1" t="str">
        <f>IF(W_カレンダー[[#This Row],[月]]&lt;=3,"Q4",IF(W_カレンダー[[#This Row],[月]]&lt;=6,"Q1",IF(W_カレンダー[[#This Row],[月]]&lt;=9,"Q2","Q3")))</f>
        <v>Q3</v>
      </c>
    </row>
    <row r="982" spans="1:5" ht="18" customHeight="1" x14ac:dyDescent="0.25">
      <c r="A982" s="27">
        <v>45997</v>
      </c>
      <c r="B982" s="29">
        <f>MONTH(W_カレンダー[[#This Row],[日付]])</f>
        <v>12</v>
      </c>
      <c r="C982" s="1">
        <f>YEAR(W_カレンダー[[#This Row],[日付]])</f>
        <v>2025</v>
      </c>
      <c r="D982" s="1">
        <f>IF(W_カレンダー[[#This Row],[月]]&lt;=3,W_カレンダー[[#This Row],[暦年]]-1,W_カレンダー[[#This Row],[暦年]])</f>
        <v>2025</v>
      </c>
      <c r="E982" s="1" t="str">
        <f>IF(W_カレンダー[[#This Row],[月]]&lt;=3,"Q4",IF(W_カレンダー[[#This Row],[月]]&lt;=6,"Q1",IF(W_カレンダー[[#This Row],[月]]&lt;=9,"Q2","Q3")))</f>
        <v>Q3</v>
      </c>
    </row>
    <row r="983" spans="1:5" ht="18" customHeight="1" x14ac:dyDescent="0.25">
      <c r="A983" s="27">
        <v>45998</v>
      </c>
      <c r="B983" s="29">
        <f>MONTH(W_カレンダー[[#This Row],[日付]])</f>
        <v>12</v>
      </c>
      <c r="C983" s="1">
        <f>YEAR(W_カレンダー[[#This Row],[日付]])</f>
        <v>2025</v>
      </c>
      <c r="D983" s="1">
        <f>IF(W_カレンダー[[#This Row],[月]]&lt;=3,W_カレンダー[[#This Row],[暦年]]-1,W_カレンダー[[#This Row],[暦年]])</f>
        <v>2025</v>
      </c>
      <c r="E983" s="1" t="str">
        <f>IF(W_カレンダー[[#This Row],[月]]&lt;=3,"Q4",IF(W_カレンダー[[#This Row],[月]]&lt;=6,"Q1",IF(W_カレンダー[[#This Row],[月]]&lt;=9,"Q2","Q3")))</f>
        <v>Q3</v>
      </c>
    </row>
    <row r="984" spans="1:5" ht="18" customHeight="1" x14ac:dyDescent="0.25">
      <c r="A984" s="27">
        <v>45999</v>
      </c>
      <c r="B984" s="29">
        <f>MONTH(W_カレンダー[[#This Row],[日付]])</f>
        <v>12</v>
      </c>
      <c r="C984" s="1">
        <f>YEAR(W_カレンダー[[#This Row],[日付]])</f>
        <v>2025</v>
      </c>
      <c r="D984" s="1">
        <f>IF(W_カレンダー[[#This Row],[月]]&lt;=3,W_カレンダー[[#This Row],[暦年]]-1,W_カレンダー[[#This Row],[暦年]])</f>
        <v>2025</v>
      </c>
      <c r="E984" s="1" t="str">
        <f>IF(W_カレンダー[[#This Row],[月]]&lt;=3,"Q4",IF(W_カレンダー[[#This Row],[月]]&lt;=6,"Q1",IF(W_カレンダー[[#This Row],[月]]&lt;=9,"Q2","Q3")))</f>
        <v>Q3</v>
      </c>
    </row>
    <row r="985" spans="1:5" ht="18" customHeight="1" x14ac:dyDescent="0.25">
      <c r="A985" s="27">
        <v>46000</v>
      </c>
      <c r="B985" s="29">
        <f>MONTH(W_カレンダー[[#This Row],[日付]])</f>
        <v>12</v>
      </c>
      <c r="C985" s="1">
        <f>YEAR(W_カレンダー[[#This Row],[日付]])</f>
        <v>2025</v>
      </c>
      <c r="D985" s="1">
        <f>IF(W_カレンダー[[#This Row],[月]]&lt;=3,W_カレンダー[[#This Row],[暦年]]-1,W_カレンダー[[#This Row],[暦年]])</f>
        <v>2025</v>
      </c>
      <c r="E985" s="1" t="str">
        <f>IF(W_カレンダー[[#This Row],[月]]&lt;=3,"Q4",IF(W_カレンダー[[#This Row],[月]]&lt;=6,"Q1",IF(W_カレンダー[[#This Row],[月]]&lt;=9,"Q2","Q3")))</f>
        <v>Q3</v>
      </c>
    </row>
    <row r="986" spans="1:5" ht="18" customHeight="1" x14ac:dyDescent="0.25">
      <c r="A986" s="27">
        <v>46001</v>
      </c>
      <c r="B986" s="29">
        <f>MONTH(W_カレンダー[[#This Row],[日付]])</f>
        <v>12</v>
      </c>
      <c r="C986" s="1">
        <f>YEAR(W_カレンダー[[#This Row],[日付]])</f>
        <v>2025</v>
      </c>
      <c r="D986" s="1">
        <f>IF(W_カレンダー[[#This Row],[月]]&lt;=3,W_カレンダー[[#This Row],[暦年]]-1,W_カレンダー[[#This Row],[暦年]])</f>
        <v>2025</v>
      </c>
      <c r="E986" s="1" t="str">
        <f>IF(W_カレンダー[[#This Row],[月]]&lt;=3,"Q4",IF(W_カレンダー[[#This Row],[月]]&lt;=6,"Q1",IF(W_カレンダー[[#This Row],[月]]&lt;=9,"Q2","Q3")))</f>
        <v>Q3</v>
      </c>
    </row>
    <row r="987" spans="1:5" ht="18" customHeight="1" x14ac:dyDescent="0.25">
      <c r="A987" s="27">
        <v>46002</v>
      </c>
      <c r="B987" s="29">
        <f>MONTH(W_カレンダー[[#This Row],[日付]])</f>
        <v>12</v>
      </c>
      <c r="C987" s="1">
        <f>YEAR(W_カレンダー[[#This Row],[日付]])</f>
        <v>2025</v>
      </c>
      <c r="D987" s="1">
        <f>IF(W_カレンダー[[#This Row],[月]]&lt;=3,W_カレンダー[[#This Row],[暦年]]-1,W_カレンダー[[#This Row],[暦年]])</f>
        <v>2025</v>
      </c>
      <c r="E987" s="1" t="str">
        <f>IF(W_カレンダー[[#This Row],[月]]&lt;=3,"Q4",IF(W_カレンダー[[#This Row],[月]]&lt;=6,"Q1",IF(W_カレンダー[[#This Row],[月]]&lt;=9,"Q2","Q3")))</f>
        <v>Q3</v>
      </c>
    </row>
    <row r="988" spans="1:5" ht="18" customHeight="1" x14ac:dyDescent="0.25">
      <c r="A988" s="27">
        <v>46003</v>
      </c>
      <c r="B988" s="29">
        <f>MONTH(W_カレンダー[[#This Row],[日付]])</f>
        <v>12</v>
      </c>
      <c r="C988" s="1">
        <f>YEAR(W_カレンダー[[#This Row],[日付]])</f>
        <v>2025</v>
      </c>
      <c r="D988" s="1">
        <f>IF(W_カレンダー[[#This Row],[月]]&lt;=3,W_カレンダー[[#This Row],[暦年]]-1,W_カレンダー[[#This Row],[暦年]])</f>
        <v>2025</v>
      </c>
      <c r="E988" s="1" t="str">
        <f>IF(W_カレンダー[[#This Row],[月]]&lt;=3,"Q4",IF(W_カレンダー[[#This Row],[月]]&lt;=6,"Q1",IF(W_カレンダー[[#This Row],[月]]&lt;=9,"Q2","Q3")))</f>
        <v>Q3</v>
      </c>
    </row>
    <row r="989" spans="1:5" ht="18" customHeight="1" x14ac:dyDescent="0.25">
      <c r="A989" s="27">
        <v>46004</v>
      </c>
      <c r="B989" s="29">
        <f>MONTH(W_カレンダー[[#This Row],[日付]])</f>
        <v>12</v>
      </c>
      <c r="C989" s="1">
        <f>YEAR(W_カレンダー[[#This Row],[日付]])</f>
        <v>2025</v>
      </c>
      <c r="D989" s="1">
        <f>IF(W_カレンダー[[#This Row],[月]]&lt;=3,W_カレンダー[[#This Row],[暦年]]-1,W_カレンダー[[#This Row],[暦年]])</f>
        <v>2025</v>
      </c>
      <c r="E989" s="1" t="str">
        <f>IF(W_カレンダー[[#This Row],[月]]&lt;=3,"Q4",IF(W_カレンダー[[#This Row],[月]]&lt;=6,"Q1",IF(W_カレンダー[[#This Row],[月]]&lt;=9,"Q2","Q3")))</f>
        <v>Q3</v>
      </c>
    </row>
    <row r="990" spans="1:5" ht="18" customHeight="1" x14ac:dyDescent="0.25">
      <c r="A990" s="27">
        <v>46005</v>
      </c>
      <c r="B990" s="29">
        <f>MONTH(W_カレンダー[[#This Row],[日付]])</f>
        <v>12</v>
      </c>
      <c r="C990" s="1">
        <f>YEAR(W_カレンダー[[#This Row],[日付]])</f>
        <v>2025</v>
      </c>
      <c r="D990" s="1">
        <f>IF(W_カレンダー[[#This Row],[月]]&lt;=3,W_カレンダー[[#This Row],[暦年]]-1,W_カレンダー[[#This Row],[暦年]])</f>
        <v>2025</v>
      </c>
      <c r="E990" s="1" t="str">
        <f>IF(W_カレンダー[[#This Row],[月]]&lt;=3,"Q4",IF(W_カレンダー[[#This Row],[月]]&lt;=6,"Q1",IF(W_カレンダー[[#This Row],[月]]&lt;=9,"Q2","Q3")))</f>
        <v>Q3</v>
      </c>
    </row>
    <row r="991" spans="1:5" ht="18" customHeight="1" x14ac:dyDescent="0.25">
      <c r="A991" s="27">
        <v>46006</v>
      </c>
      <c r="B991" s="29">
        <f>MONTH(W_カレンダー[[#This Row],[日付]])</f>
        <v>12</v>
      </c>
      <c r="C991" s="1">
        <f>YEAR(W_カレンダー[[#This Row],[日付]])</f>
        <v>2025</v>
      </c>
      <c r="D991" s="1">
        <f>IF(W_カレンダー[[#This Row],[月]]&lt;=3,W_カレンダー[[#This Row],[暦年]]-1,W_カレンダー[[#This Row],[暦年]])</f>
        <v>2025</v>
      </c>
      <c r="E991" s="1" t="str">
        <f>IF(W_カレンダー[[#This Row],[月]]&lt;=3,"Q4",IF(W_カレンダー[[#This Row],[月]]&lt;=6,"Q1",IF(W_カレンダー[[#This Row],[月]]&lt;=9,"Q2","Q3")))</f>
        <v>Q3</v>
      </c>
    </row>
    <row r="992" spans="1:5" ht="18" customHeight="1" x14ac:dyDescent="0.25">
      <c r="A992" s="27">
        <v>46007</v>
      </c>
      <c r="B992" s="29">
        <f>MONTH(W_カレンダー[[#This Row],[日付]])</f>
        <v>12</v>
      </c>
      <c r="C992" s="1">
        <f>YEAR(W_カレンダー[[#This Row],[日付]])</f>
        <v>2025</v>
      </c>
      <c r="D992" s="1">
        <f>IF(W_カレンダー[[#This Row],[月]]&lt;=3,W_カレンダー[[#This Row],[暦年]]-1,W_カレンダー[[#This Row],[暦年]])</f>
        <v>2025</v>
      </c>
      <c r="E992" s="1" t="str">
        <f>IF(W_カレンダー[[#This Row],[月]]&lt;=3,"Q4",IF(W_カレンダー[[#This Row],[月]]&lt;=6,"Q1",IF(W_カレンダー[[#This Row],[月]]&lt;=9,"Q2","Q3")))</f>
        <v>Q3</v>
      </c>
    </row>
    <row r="993" spans="1:5" ht="18" customHeight="1" x14ac:dyDescent="0.25">
      <c r="A993" s="27">
        <v>46008</v>
      </c>
      <c r="B993" s="29">
        <f>MONTH(W_カレンダー[[#This Row],[日付]])</f>
        <v>12</v>
      </c>
      <c r="C993" s="1">
        <f>YEAR(W_カレンダー[[#This Row],[日付]])</f>
        <v>2025</v>
      </c>
      <c r="D993" s="1">
        <f>IF(W_カレンダー[[#This Row],[月]]&lt;=3,W_カレンダー[[#This Row],[暦年]]-1,W_カレンダー[[#This Row],[暦年]])</f>
        <v>2025</v>
      </c>
      <c r="E993" s="1" t="str">
        <f>IF(W_カレンダー[[#This Row],[月]]&lt;=3,"Q4",IF(W_カレンダー[[#This Row],[月]]&lt;=6,"Q1",IF(W_カレンダー[[#This Row],[月]]&lt;=9,"Q2","Q3")))</f>
        <v>Q3</v>
      </c>
    </row>
    <row r="994" spans="1:5" ht="18" customHeight="1" x14ac:dyDescent="0.25">
      <c r="A994" s="27">
        <v>46009</v>
      </c>
      <c r="B994" s="29">
        <f>MONTH(W_カレンダー[[#This Row],[日付]])</f>
        <v>12</v>
      </c>
      <c r="C994" s="1">
        <f>YEAR(W_カレンダー[[#This Row],[日付]])</f>
        <v>2025</v>
      </c>
      <c r="D994" s="1">
        <f>IF(W_カレンダー[[#This Row],[月]]&lt;=3,W_カレンダー[[#This Row],[暦年]]-1,W_カレンダー[[#This Row],[暦年]])</f>
        <v>2025</v>
      </c>
      <c r="E994" s="1" t="str">
        <f>IF(W_カレンダー[[#This Row],[月]]&lt;=3,"Q4",IF(W_カレンダー[[#This Row],[月]]&lt;=6,"Q1",IF(W_カレンダー[[#This Row],[月]]&lt;=9,"Q2","Q3")))</f>
        <v>Q3</v>
      </c>
    </row>
    <row r="995" spans="1:5" ht="18" customHeight="1" x14ac:dyDescent="0.25">
      <c r="A995" s="27">
        <v>46010</v>
      </c>
      <c r="B995" s="29">
        <f>MONTH(W_カレンダー[[#This Row],[日付]])</f>
        <v>12</v>
      </c>
      <c r="C995" s="1">
        <f>YEAR(W_カレンダー[[#This Row],[日付]])</f>
        <v>2025</v>
      </c>
      <c r="D995" s="1">
        <f>IF(W_カレンダー[[#This Row],[月]]&lt;=3,W_カレンダー[[#This Row],[暦年]]-1,W_カレンダー[[#This Row],[暦年]])</f>
        <v>2025</v>
      </c>
      <c r="E995" s="1" t="str">
        <f>IF(W_カレンダー[[#This Row],[月]]&lt;=3,"Q4",IF(W_カレンダー[[#This Row],[月]]&lt;=6,"Q1",IF(W_カレンダー[[#This Row],[月]]&lt;=9,"Q2","Q3")))</f>
        <v>Q3</v>
      </c>
    </row>
    <row r="996" spans="1:5" ht="18" customHeight="1" x14ac:dyDescent="0.25">
      <c r="A996" s="27">
        <v>46011</v>
      </c>
      <c r="B996" s="29">
        <f>MONTH(W_カレンダー[[#This Row],[日付]])</f>
        <v>12</v>
      </c>
      <c r="C996" s="1">
        <f>YEAR(W_カレンダー[[#This Row],[日付]])</f>
        <v>2025</v>
      </c>
      <c r="D996" s="1">
        <f>IF(W_カレンダー[[#This Row],[月]]&lt;=3,W_カレンダー[[#This Row],[暦年]]-1,W_カレンダー[[#This Row],[暦年]])</f>
        <v>2025</v>
      </c>
      <c r="E996" s="1" t="str">
        <f>IF(W_カレンダー[[#This Row],[月]]&lt;=3,"Q4",IF(W_カレンダー[[#This Row],[月]]&lt;=6,"Q1",IF(W_カレンダー[[#This Row],[月]]&lt;=9,"Q2","Q3")))</f>
        <v>Q3</v>
      </c>
    </row>
    <row r="997" spans="1:5" ht="18" customHeight="1" x14ac:dyDescent="0.25">
      <c r="A997" s="27">
        <v>46012</v>
      </c>
      <c r="B997" s="29">
        <f>MONTH(W_カレンダー[[#This Row],[日付]])</f>
        <v>12</v>
      </c>
      <c r="C997" s="1">
        <f>YEAR(W_カレンダー[[#This Row],[日付]])</f>
        <v>2025</v>
      </c>
      <c r="D997" s="1">
        <f>IF(W_カレンダー[[#This Row],[月]]&lt;=3,W_カレンダー[[#This Row],[暦年]]-1,W_カレンダー[[#This Row],[暦年]])</f>
        <v>2025</v>
      </c>
      <c r="E997" s="1" t="str">
        <f>IF(W_カレンダー[[#This Row],[月]]&lt;=3,"Q4",IF(W_カレンダー[[#This Row],[月]]&lt;=6,"Q1",IF(W_カレンダー[[#This Row],[月]]&lt;=9,"Q2","Q3")))</f>
        <v>Q3</v>
      </c>
    </row>
    <row r="998" spans="1:5" ht="18" customHeight="1" x14ac:dyDescent="0.25">
      <c r="A998" s="27">
        <v>46013</v>
      </c>
      <c r="B998" s="29">
        <f>MONTH(W_カレンダー[[#This Row],[日付]])</f>
        <v>12</v>
      </c>
      <c r="C998" s="1">
        <f>YEAR(W_カレンダー[[#This Row],[日付]])</f>
        <v>2025</v>
      </c>
      <c r="D998" s="1">
        <f>IF(W_カレンダー[[#This Row],[月]]&lt;=3,W_カレンダー[[#This Row],[暦年]]-1,W_カレンダー[[#This Row],[暦年]])</f>
        <v>2025</v>
      </c>
      <c r="E998" s="1" t="str">
        <f>IF(W_カレンダー[[#This Row],[月]]&lt;=3,"Q4",IF(W_カレンダー[[#This Row],[月]]&lt;=6,"Q1",IF(W_カレンダー[[#This Row],[月]]&lt;=9,"Q2","Q3")))</f>
        <v>Q3</v>
      </c>
    </row>
    <row r="999" spans="1:5" ht="18" customHeight="1" x14ac:dyDescent="0.25">
      <c r="A999" s="27">
        <v>46014</v>
      </c>
      <c r="B999" s="29">
        <f>MONTH(W_カレンダー[[#This Row],[日付]])</f>
        <v>12</v>
      </c>
      <c r="C999" s="1">
        <f>YEAR(W_カレンダー[[#This Row],[日付]])</f>
        <v>2025</v>
      </c>
      <c r="D999" s="1">
        <f>IF(W_カレンダー[[#This Row],[月]]&lt;=3,W_カレンダー[[#This Row],[暦年]]-1,W_カレンダー[[#This Row],[暦年]])</f>
        <v>2025</v>
      </c>
      <c r="E999" s="1" t="str">
        <f>IF(W_カレンダー[[#This Row],[月]]&lt;=3,"Q4",IF(W_カレンダー[[#This Row],[月]]&lt;=6,"Q1",IF(W_カレンダー[[#This Row],[月]]&lt;=9,"Q2","Q3")))</f>
        <v>Q3</v>
      </c>
    </row>
    <row r="1000" spans="1:5" ht="18" customHeight="1" x14ac:dyDescent="0.25">
      <c r="A1000" s="27">
        <v>46015</v>
      </c>
      <c r="B1000" s="29">
        <f>MONTH(W_カレンダー[[#This Row],[日付]])</f>
        <v>12</v>
      </c>
      <c r="C1000" s="1">
        <f>YEAR(W_カレンダー[[#This Row],[日付]])</f>
        <v>2025</v>
      </c>
      <c r="D1000" s="1">
        <f>IF(W_カレンダー[[#This Row],[月]]&lt;=3,W_カレンダー[[#This Row],[暦年]]-1,W_カレンダー[[#This Row],[暦年]])</f>
        <v>2025</v>
      </c>
      <c r="E1000" s="1" t="str">
        <f>IF(W_カレンダー[[#This Row],[月]]&lt;=3,"Q4",IF(W_カレンダー[[#This Row],[月]]&lt;=6,"Q1",IF(W_カレンダー[[#This Row],[月]]&lt;=9,"Q2","Q3")))</f>
        <v>Q3</v>
      </c>
    </row>
    <row r="1001" spans="1:5" ht="18" customHeight="1" x14ac:dyDescent="0.25">
      <c r="A1001" s="27">
        <v>46016</v>
      </c>
      <c r="B1001" s="29">
        <f>MONTH(W_カレンダー[[#This Row],[日付]])</f>
        <v>12</v>
      </c>
      <c r="C1001" s="1">
        <f>YEAR(W_カレンダー[[#This Row],[日付]])</f>
        <v>2025</v>
      </c>
      <c r="D1001" s="1">
        <f>IF(W_カレンダー[[#This Row],[月]]&lt;=3,W_カレンダー[[#This Row],[暦年]]-1,W_カレンダー[[#This Row],[暦年]])</f>
        <v>2025</v>
      </c>
      <c r="E1001" s="1" t="str">
        <f>IF(W_カレンダー[[#This Row],[月]]&lt;=3,"Q4",IF(W_カレンダー[[#This Row],[月]]&lt;=6,"Q1",IF(W_カレンダー[[#This Row],[月]]&lt;=9,"Q2","Q3")))</f>
        <v>Q3</v>
      </c>
    </row>
    <row r="1002" spans="1:5" ht="18" customHeight="1" x14ac:dyDescent="0.25">
      <c r="A1002" s="27">
        <v>46017</v>
      </c>
      <c r="B1002" s="29">
        <f>MONTH(W_カレンダー[[#This Row],[日付]])</f>
        <v>12</v>
      </c>
      <c r="C1002" s="1">
        <f>YEAR(W_カレンダー[[#This Row],[日付]])</f>
        <v>2025</v>
      </c>
      <c r="D1002" s="1">
        <f>IF(W_カレンダー[[#This Row],[月]]&lt;=3,W_カレンダー[[#This Row],[暦年]]-1,W_カレンダー[[#This Row],[暦年]])</f>
        <v>2025</v>
      </c>
      <c r="E1002" s="1" t="str">
        <f>IF(W_カレンダー[[#This Row],[月]]&lt;=3,"Q4",IF(W_カレンダー[[#This Row],[月]]&lt;=6,"Q1",IF(W_カレンダー[[#This Row],[月]]&lt;=9,"Q2","Q3")))</f>
        <v>Q3</v>
      </c>
    </row>
    <row r="1003" spans="1:5" ht="18" customHeight="1" x14ac:dyDescent="0.25">
      <c r="A1003" s="27">
        <v>46018</v>
      </c>
      <c r="B1003" s="29">
        <f>MONTH(W_カレンダー[[#This Row],[日付]])</f>
        <v>12</v>
      </c>
      <c r="C1003" s="1">
        <f>YEAR(W_カレンダー[[#This Row],[日付]])</f>
        <v>2025</v>
      </c>
      <c r="D1003" s="1">
        <f>IF(W_カレンダー[[#This Row],[月]]&lt;=3,W_カレンダー[[#This Row],[暦年]]-1,W_カレンダー[[#This Row],[暦年]])</f>
        <v>2025</v>
      </c>
      <c r="E1003" s="1" t="str">
        <f>IF(W_カレンダー[[#This Row],[月]]&lt;=3,"Q4",IF(W_カレンダー[[#This Row],[月]]&lt;=6,"Q1",IF(W_カレンダー[[#This Row],[月]]&lt;=9,"Q2","Q3")))</f>
        <v>Q3</v>
      </c>
    </row>
    <row r="1004" spans="1:5" ht="18" customHeight="1" x14ac:dyDescent="0.25">
      <c r="A1004" s="27">
        <v>46019</v>
      </c>
      <c r="B1004" s="29">
        <f>MONTH(W_カレンダー[[#This Row],[日付]])</f>
        <v>12</v>
      </c>
      <c r="C1004" s="1">
        <f>YEAR(W_カレンダー[[#This Row],[日付]])</f>
        <v>2025</v>
      </c>
      <c r="D1004" s="1">
        <f>IF(W_カレンダー[[#This Row],[月]]&lt;=3,W_カレンダー[[#This Row],[暦年]]-1,W_カレンダー[[#This Row],[暦年]])</f>
        <v>2025</v>
      </c>
      <c r="E1004" s="1" t="str">
        <f>IF(W_カレンダー[[#This Row],[月]]&lt;=3,"Q4",IF(W_カレンダー[[#This Row],[月]]&lt;=6,"Q1",IF(W_カレンダー[[#This Row],[月]]&lt;=9,"Q2","Q3")))</f>
        <v>Q3</v>
      </c>
    </row>
    <row r="1005" spans="1:5" ht="18" customHeight="1" x14ac:dyDescent="0.25">
      <c r="A1005" s="27">
        <v>46020</v>
      </c>
      <c r="B1005" s="29">
        <f>MONTH(W_カレンダー[[#This Row],[日付]])</f>
        <v>12</v>
      </c>
      <c r="C1005" s="1">
        <f>YEAR(W_カレンダー[[#This Row],[日付]])</f>
        <v>2025</v>
      </c>
      <c r="D1005" s="1">
        <f>IF(W_カレンダー[[#This Row],[月]]&lt;=3,W_カレンダー[[#This Row],[暦年]]-1,W_カレンダー[[#This Row],[暦年]])</f>
        <v>2025</v>
      </c>
      <c r="E1005" s="1" t="str">
        <f>IF(W_カレンダー[[#This Row],[月]]&lt;=3,"Q4",IF(W_カレンダー[[#This Row],[月]]&lt;=6,"Q1",IF(W_カレンダー[[#This Row],[月]]&lt;=9,"Q2","Q3")))</f>
        <v>Q3</v>
      </c>
    </row>
    <row r="1006" spans="1:5" ht="18" customHeight="1" x14ac:dyDescent="0.25">
      <c r="A1006" s="27">
        <v>46021</v>
      </c>
      <c r="B1006" s="29">
        <f>MONTH(W_カレンダー[[#This Row],[日付]])</f>
        <v>12</v>
      </c>
      <c r="C1006" s="1">
        <f>YEAR(W_カレンダー[[#This Row],[日付]])</f>
        <v>2025</v>
      </c>
      <c r="D1006" s="1">
        <f>IF(W_カレンダー[[#This Row],[月]]&lt;=3,W_カレンダー[[#This Row],[暦年]]-1,W_カレンダー[[#This Row],[暦年]])</f>
        <v>2025</v>
      </c>
      <c r="E1006" s="1" t="str">
        <f>IF(W_カレンダー[[#This Row],[月]]&lt;=3,"Q4",IF(W_カレンダー[[#This Row],[月]]&lt;=6,"Q1",IF(W_カレンダー[[#This Row],[月]]&lt;=9,"Q2","Q3")))</f>
        <v>Q3</v>
      </c>
    </row>
    <row r="1007" spans="1:5" ht="18" customHeight="1" x14ac:dyDescent="0.25">
      <c r="A1007" s="27">
        <v>46022</v>
      </c>
      <c r="B1007" s="29">
        <f>MONTH(W_カレンダー[[#This Row],[日付]])</f>
        <v>12</v>
      </c>
      <c r="C1007" s="1">
        <f>YEAR(W_カレンダー[[#This Row],[日付]])</f>
        <v>2025</v>
      </c>
      <c r="D1007" s="1">
        <f>IF(W_カレンダー[[#This Row],[月]]&lt;=3,W_カレンダー[[#This Row],[暦年]]-1,W_カレンダー[[#This Row],[暦年]])</f>
        <v>2025</v>
      </c>
      <c r="E1007" s="1" t="str">
        <f>IF(W_カレンダー[[#This Row],[月]]&lt;=3,"Q4",IF(W_カレンダー[[#This Row],[月]]&lt;=6,"Q1",IF(W_カレンダー[[#This Row],[月]]&lt;=9,"Q2","Q3")))</f>
        <v>Q3</v>
      </c>
    </row>
    <row r="1008" spans="1:5" ht="18" customHeight="1" x14ac:dyDescent="0.25">
      <c r="A1008" s="27">
        <v>46023</v>
      </c>
      <c r="B1008" s="29">
        <f>MONTH(W_カレンダー[[#This Row],[日付]])</f>
        <v>1</v>
      </c>
      <c r="C1008" s="1">
        <f>YEAR(W_カレンダー[[#This Row],[日付]])</f>
        <v>2026</v>
      </c>
      <c r="D1008" s="1">
        <f>IF(W_カレンダー[[#This Row],[月]]&lt;=3,W_カレンダー[[#This Row],[暦年]]-1,W_カレンダー[[#This Row],[暦年]])</f>
        <v>2025</v>
      </c>
      <c r="E1008" s="1" t="str">
        <f>IF(W_カレンダー[[#This Row],[月]]&lt;=3,"Q4",IF(W_カレンダー[[#This Row],[月]]&lt;=6,"Q1",IF(W_カレンダー[[#This Row],[月]]&lt;=9,"Q2","Q3")))</f>
        <v>Q4</v>
      </c>
    </row>
    <row r="1009" spans="1:5" ht="18" customHeight="1" x14ac:dyDescent="0.25">
      <c r="A1009" s="27">
        <v>46024</v>
      </c>
      <c r="B1009" s="29">
        <f>MONTH(W_カレンダー[[#This Row],[日付]])</f>
        <v>1</v>
      </c>
      <c r="C1009" s="1">
        <f>YEAR(W_カレンダー[[#This Row],[日付]])</f>
        <v>2026</v>
      </c>
      <c r="D1009" s="1">
        <f>IF(W_カレンダー[[#This Row],[月]]&lt;=3,W_カレンダー[[#This Row],[暦年]]-1,W_カレンダー[[#This Row],[暦年]])</f>
        <v>2025</v>
      </c>
      <c r="E1009" s="1" t="str">
        <f>IF(W_カレンダー[[#This Row],[月]]&lt;=3,"Q4",IF(W_カレンダー[[#This Row],[月]]&lt;=6,"Q1",IF(W_カレンダー[[#This Row],[月]]&lt;=9,"Q2","Q3")))</f>
        <v>Q4</v>
      </c>
    </row>
    <row r="1010" spans="1:5" ht="18" customHeight="1" x14ac:dyDescent="0.25">
      <c r="A1010" s="27">
        <v>46025</v>
      </c>
      <c r="B1010" s="29">
        <f>MONTH(W_カレンダー[[#This Row],[日付]])</f>
        <v>1</v>
      </c>
      <c r="C1010" s="1">
        <f>YEAR(W_カレンダー[[#This Row],[日付]])</f>
        <v>2026</v>
      </c>
      <c r="D1010" s="1">
        <f>IF(W_カレンダー[[#This Row],[月]]&lt;=3,W_カレンダー[[#This Row],[暦年]]-1,W_カレンダー[[#This Row],[暦年]])</f>
        <v>2025</v>
      </c>
      <c r="E1010" s="1" t="str">
        <f>IF(W_カレンダー[[#This Row],[月]]&lt;=3,"Q4",IF(W_カレンダー[[#This Row],[月]]&lt;=6,"Q1",IF(W_カレンダー[[#This Row],[月]]&lt;=9,"Q2","Q3")))</f>
        <v>Q4</v>
      </c>
    </row>
    <row r="1011" spans="1:5" ht="18" customHeight="1" x14ac:dyDescent="0.25">
      <c r="A1011" s="27">
        <v>46026</v>
      </c>
      <c r="B1011" s="29">
        <f>MONTH(W_カレンダー[[#This Row],[日付]])</f>
        <v>1</v>
      </c>
      <c r="C1011" s="1">
        <f>YEAR(W_カレンダー[[#This Row],[日付]])</f>
        <v>2026</v>
      </c>
      <c r="D1011" s="1">
        <f>IF(W_カレンダー[[#This Row],[月]]&lt;=3,W_カレンダー[[#This Row],[暦年]]-1,W_カレンダー[[#This Row],[暦年]])</f>
        <v>2025</v>
      </c>
      <c r="E1011" s="1" t="str">
        <f>IF(W_カレンダー[[#This Row],[月]]&lt;=3,"Q4",IF(W_カレンダー[[#This Row],[月]]&lt;=6,"Q1",IF(W_カレンダー[[#This Row],[月]]&lt;=9,"Q2","Q3")))</f>
        <v>Q4</v>
      </c>
    </row>
    <row r="1012" spans="1:5" ht="18" customHeight="1" x14ac:dyDescent="0.25">
      <c r="A1012" s="27">
        <v>46027</v>
      </c>
      <c r="B1012" s="29">
        <f>MONTH(W_カレンダー[[#This Row],[日付]])</f>
        <v>1</v>
      </c>
      <c r="C1012" s="1">
        <f>YEAR(W_カレンダー[[#This Row],[日付]])</f>
        <v>2026</v>
      </c>
      <c r="D1012" s="1">
        <f>IF(W_カレンダー[[#This Row],[月]]&lt;=3,W_カレンダー[[#This Row],[暦年]]-1,W_カレンダー[[#This Row],[暦年]])</f>
        <v>2025</v>
      </c>
      <c r="E1012" s="1" t="str">
        <f>IF(W_カレンダー[[#This Row],[月]]&lt;=3,"Q4",IF(W_カレンダー[[#This Row],[月]]&lt;=6,"Q1",IF(W_カレンダー[[#This Row],[月]]&lt;=9,"Q2","Q3")))</f>
        <v>Q4</v>
      </c>
    </row>
    <row r="1013" spans="1:5" ht="18" customHeight="1" x14ac:dyDescent="0.25">
      <c r="A1013" s="27">
        <v>46028</v>
      </c>
      <c r="B1013" s="29">
        <f>MONTH(W_カレンダー[[#This Row],[日付]])</f>
        <v>1</v>
      </c>
      <c r="C1013" s="1">
        <f>YEAR(W_カレンダー[[#This Row],[日付]])</f>
        <v>2026</v>
      </c>
      <c r="D1013" s="1">
        <f>IF(W_カレンダー[[#This Row],[月]]&lt;=3,W_カレンダー[[#This Row],[暦年]]-1,W_カレンダー[[#This Row],[暦年]])</f>
        <v>2025</v>
      </c>
      <c r="E1013" s="1" t="str">
        <f>IF(W_カレンダー[[#This Row],[月]]&lt;=3,"Q4",IF(W_カレンダー[[#This Row],[月]]&lt;=6,"Q1",IF(W_カレンダー[[#This Row],[月]]&lt;=9,"Q2","Q3")))</f>
        <v>Q4</v>
      </c>
    </row>
    <row r="1014" spans="1:5" ht="18" customHeight="1" x14ac:dyDescent="0.25">
      <c r="A1014" s="27">
        <v>46029</v>
      </c>
      <c r="B1014" s="29">
        <f>MONTH(W_カレンダー[[#This Row],[日付]])</f>
        <v>1</v>
      </c>
      <c r="C1014" s="1">
        <f>YEAR(W_カレンダー[[#This Row],[日付]])</f>
        <v>2026</v>
      </c>
      <c r="D1014" s="1">
        <f>IF(W_カレンダー[[#This Row],[月]]&lt;=3,W_カレンダー[[#This Row],[暦年]]-1,W_カレンダー[[#This Row],[暦年]])</f>
        <v>2025</v>
      </c>
      <c r="E1014" s="1" t="str">
        <f>IF(W_カレンダー[[#This Row],[月]]&lt;=3,"Q4",IF(W_カレンダー[[#This Row],[月]]&lt;=6,"Q1",IF(W_カレンダー[[#This Row],[月]]&lt;=9,"Q2","Q3")))</f>
        <v>Q4</v>
      </c>
    </row>
    <row r="1015" spans="1:5" ht="18" customHeight="1" x14ac:dyDescent="0.25">
      <c r="A1015" s="27">
        <v>46030</v>
      </c>
      <c r="B1015" s="29">
        <f>MONTH(W_カレンダー[[#This Row],[日付]])</f>
        <v>1</v>
      </c>
      <c r="C1015" s="1">
        <f>YEAR(W_カレンダー[[#This Row],[日付]])</f>
        <v>2026</v>
      </c>
      <c r="D1015" s="1">
        <f>IF(W_カレンダー[[#This Row],[月]]&lt;=3,W_カレンダー[[#This Row],[暦年]]-1,W_カレンダー[[#This Row],[暦年]])</f>
        <v>2025</v>
      </c>
      <c r="E1015" s="1" t="str">
        <f>IF(W_カレンダー[[#This Row],[月]]&lt;=3,"Q4",IF(W_カレンダー[[#This Row],[月]]&lt;=6,"Q1",IF(W_カレンダー[[#This Row],[月]]&lt;=9,"Q2","Q3")))</f>
        <v>Q4</v>
      </c>
    </row>
    <row r="1016" spans="1:5" ht="18" customHeight="1" x14ac:dyDescent="0.25">
      <c r="A1016" s="27">
        <v>46031</v>
      </c>
      <c r="B1016" s="29">
        <f>MONTH(W_カレンダー[[#This Row],[日付]])</f>
        <v>1</v>
      </c>
      <c r="C1016" s="1">
        <f>YEAR(W_カレンダー[[#This Row],[日付]])</f>
        <v>2026</v>
      </c>
      <c r="D1016" s="1">
        <f>IF(W_カレンダー[[#This Row],[月]]&lt;=3,W_カレンダー[[#This Row],[暦年]]-1,W_カレンダー[[#This Row],[暦年]])</f>
        <v>2025</v>
      </c>
      <c r="E1016" s="1" t="str">
        <f>IF(W_カレンダー[[#This Row],[月]]&lt;=3,"Q4",IF(W_カレンダー[[#This Row],[月]]&lt;=6,"Q1",IF(W_カレンダー[[#This Row],[月]]&lt;=9,"Q2","Q3")))</f>
        <v>Q4</v>
      </c>
    </row>
    <row r="1017" spans="1:5" ht="18" customHeight="1" x14ac:dyDescent="0.25">
      <c r="A1017" s="27">
        <v>46032</v>
      </c>
      <c r="B1017" s="29">
        <f>MONTH(W_カレンダー[[#This Row],[日付]])</f>
        <v>1</v>
      </c>
      <c r="C1017" s="1">
        <f>YEAR(W_カレンダー[[#This Row],[日付]])</f>
        <v>2026</v>
      </c>
      <c r="D1017" s="1">
        <f>IF(W_カレンダー[[#This Row],[月]]&lt;=3,W_カレンダー[[#This Row],[暦年]]-1,W_カレンダー[[#This Row],[暦年]])</f>
        <v>2025</v>
      </c>
      <c r="E1017" s="1" t="str">
        <f>IF(W_カレンダー[[#This Row],[月]]&lt;=3,"Q4",IF(W_カレンダー[[#This Row],[月]]&lt;=6,"Q1",IF(W_カレンダー[[#This Row],[月]]&lt;=9,"Q2","Q3")))</f>
        <v>Q4</v>
      </c>
    </row>
    <row r="1018" spans="1:5" ht="18" customHeight="1" x14ac:dyDescent="0.25">
      <c r="A1018" s="27">
        <v>46033</v>
      </c>
      <c r="B1018" s="29">
        <f>MONTH(W_カレンダー[[#This Row],[日付]])</f>
        <v>1</v>
      </c>
      <c r="C1018" s="1">
        <f>YEAR(W_カレンダー[[#This Row],[日付]])</f>
        <v>2026</v>
      </c>
      <c r="D1018" s="1">
        <f>IF(W_カレンダー[[#This Row],[月]]&lt;=3,W_カレンダー[[#This Row],[暦年]]-1,W_カレンダー[[#This Row],[暦年]])</f>
        <v>2025</v>
      </c>
      <c r="E1018" s="1" t="str">
        <f>IF(W_カレンダー[[#This Row],[月]]&lt;=3,"Q4",IF(W_カレンダー[[#This Row],[月]]&lt;=6,"Q1",IF(W_カレンダー[[#This Row],[月]]&lt;=9,"Q2","Q3")))</f>
        <v>Q4</v>
      </c>
    </row>
    <row r="1019" spans="1:5" ht="18" customHeight="1" x14ac:dyDescent="0.25">
      <c r="A1019" s="27">
        <v>46034</v>
      </c>
      <c r="B1019" s="29">
        <f>MONTH(W_カレンダー[[#This Row],[日付]])</f>
        <v>1</v>
      </c>
      <c r="C1019" s="1">
        <f>YEAR(W_カレンダー[[#This Row],[日付]])</f>
        <v>2026</v>
      </c>
      <c r="D1019" s="1">
        <f>IF(W_カレンダー[[#This Row],[月]]&lt;=3,W_カレンダー[[#This Row],[暦年]]-1,W_カレンダー[[#This Row],[暦年]])</f>
        <v>2025</v>
      </c>
      <c r="E1019" s="1" t="str">
        <f>IF(W_カレンダー[[#This Row],[月]]&lt;=3,"Q4",IF(W_カレンダー[[#This Row],[月]]&lt;=6,"Q1",IF(W_カレンダー[[#This Row],[月]]&lt;=9,"Q2","Q3")))</f>
        <v>Q4</v>
      </c>
    </row>
    <row r="1020" spans="1:5" ht="18" customHeight="1" x14ac:dyDescent="0.25">
      <c r="A1020" s="27">
        <v>46035</v>
      </c>
      <c r="B1020" s="29">
        <f>MONTH(W_カレンダー[[#This Row],[日付]])</f>
        <v>1</v>
      </c>
      <c r="C1020" s="1">
        <f>YEAR(W_カレンダー[[#This Row],[日付]])</f>
        <v>2026</v>
      </c>
      <c r="D1020" s="1">
        <f>IF(W_カレンダー[[#This Row],[月]]&lt;=3,W_カレンダー[[#This Row],[暦年]]-1,W_カレンダー[[#This Row],[暦年]])</f>
        <v>2025</v>
      </c>
      <c r="E1020" s="1" t="str">
        <f>IF(W_カレンダー[[#This Row],[月]]&lt;=3,"Q4",IF(W_カレンダー[[#This Row],[月]]&lt;=6,"Q1",IF(W_カレンダー[[#This Row],[月]]&lt;=9,"Q2","Q3")))</f>
        <v>Q4</v>
      </c>
    </row>
    <row r="1021" spans="1:5" ht="18" customHeight="1" x14ac:dyDescent="0.25">
      <c r="A1021" s="27">
        <v>46036</v>
      </c>
      <c r="B1021" s="29">
        <f>MONTH(W_カレンダー[[#This Row],[日付]])</f>
        <v>1</v>
      </c>
      <c r="C1021" s="1">
        <f>YEAR(W_カレンダー[[#This Row],[日付]])</f>
        <v>2026</v>
      </c>
      <c r="D1021" s="1">
        <f>IF(W_カレンダー[[#This Row],[月]]&lt;=3,W_カレンダー[[#This Row],[暦年]]-1,W_カレンダー[[#This Row],[暦年]])</f>
        <v>2025</v>
      </c>
      <c r="E1021" s="1" t="str">
        <f>IF(W_カレンダー[[#This Row],[月]]&lt;=3,"Q4",IF(W_カレンダー[[#This Row],[月]]&lt;=6,"Q1",IF(W_カレンダー[[#This Row],[月]]&lt;=9,"Q2","Q3")))</f>
        <v>Q4</v>
      </c>
    </row>
    <row r="1022" spans="1:5" ht="18" customHeight="1" x14ac:dyDescent="0.25">
      <c r="A1022" s="27">
        <v>46037</v>
      </c>
      <c r="B1022" s="29">
        <f>MONTH(W_カレンダー[[#This Row],[日付]])</f>
        <v>1</v>
      </c>
      <c r="C1022" s="1">
        <f>YEAR(W_カレンダー[[#This Row],[日付]])</f>
        <v>2026</v>
      </c>
      <c r="D1022" s="1">
        <f>IF(W_カレンダー[[#This Row],[月]]&lt;=3,W_カレンダー[[#This Row],[暦年]]-1,W_カレンダー[[#This Row],[暦年]])</f>
        <v>2025</v>
      </c>
      <c r="E1022" s="1" t="str">
        <f>IF(W_カレンダー[[#This Row],[月]]&lt;=3,"Q4",IF(W_カレンダー[[#This Row],[月]]&lt;=6,"Q1",IF(W_カレンダー[[#This Row],[月]]&lt;=9,"Q2","Q3")))</f>
        <v>Q4</v>
      </c>
    </row>
    <row r="1023" spans="1:5" ht="18" customHeight="1" x14ac:dyDescent="0.25">
      <c r="A1023" s="27">
        <v>46038</v>
      </c>
      <c r="B1023" s="29">
        <f>MONTH(W_カレンダー[[#This Row],[日付]])</f>
        <v>1</v>
      </c>
      <c r="C1023" s="1">
        <f>YEAR(W_カレンダー[[#This Row],[日付]])</f>
        <v>2026</v>
      </c>
      <c r="D1023" s="1">
        <f>IF(W_カレンダー[[#This Row],[月]]&lt;=3,W_カレンダー[[#This Row],[暦年]]-1,W_カレンダー[[#This Row],[暦年]])</f>
        <v>2025</v>
      </c>
      <c r="E1023" s="1" t="str">
        <f>IF(W_カレンダー[[#This Row],[月]]&lt;=3,"Q4",IF(W_カレンダー[[#This Row],[月]]&lt;=6,"Q1",IF(W_カレンダー[[#This Row],[月]]&lt;=9,"Q2","Q3")))</f>
        <v>Q4</v>
      </c>
    </row>
    <row r="1024" spans="1:5" ht="18" customHeight="1" x14ac:dyDescent="0.25">
      <c r="A1024" s="27">
        <v>46039</v>
      </c>
      <c r="B1024" s="29">
        <f>MONTH(W_カレンダー[[#This Row],[日付]])</f>
        <v>1</v>
      </c>
      <c r="C1024" s="1">
        <f>YEAR(W_カレンダー[[#This Row],[日付]])</f>
        <v>2026</v>
      </c>
      <c r="D1024" s="1">
        <f>IF(W_カレンダー[[#This Row],[月]]&lt;=3,W_カレンダー[[#This Row],[暦年]]-1,W_カレンダー[[#This Row],[暦年]])</f>
        <v>2025</v>
      </c>
      <c r="E1024" s="1" t="str">
        <f>IF(W_カレンダー[[#This Row],[月]]&lt;=3,"Q4",IF(W_カレンダー[[#This Row],[月]]&lt;=6,"Q1",IF(W_カレンダー[[#This Row],[月]]&lt;=9,"Q2","Q3")))</f>
        <v>Q4</v>
      </c>
    </row>
    <row r="1025" spans="1:5" ht="18" customHeight="1" x14ac:dyDescent="0.25">
      <c r="A1025" s="27">
        <v>46040</v>
      </c>
      <c r="B1025" s="29">
        <f>MONTH(W_カレンダー[[#This Row],[日付]])</f>
        <v>1</v>
      </c>
      <c r="C1025" s="1">
        <f>YEAR(W_カレンダー[[#This Row],[日付]])</f>
        <v>2026</v>
      </c>
      <c r="D1025" s="1">
        <f>IF(W_カレンダー[[#This Row],[月]]&lt;=3,W_カレンダー[[#This Row],[暦年]]-1,W_カレンダー[[#This Row],[暦年]])</f>
        <v>2025</v>
      </c>
      <c r="E1025" s="1" t="str">
        <f>IF(W_カレンダー[[#This Row],[月]]&lt;=3,"Q4",IF(W_カレンダー[[#This Row],[月]]&lt;=6,"Q1",IF(W_カレンダー[[#This Row],[月]]&lt;=9,"Q2","Q3")))</f>
        <v>Q4</v>
      </c>
    </row>
    <row r="1026" spans="1:5" ht="18" customHeight="1" x14ac:dyDescent="0.25">
      <c r="A1026" s="27">
        <v>46041</v>
      </c>
      <c r="B1026" s="29">
        <f>MONTH(W_カレンダー[[#This Row],[日付]])</f>
        <v>1</v>
      </c>
      <c r="C1026" s="1">
        <f>YEAR(W_カレンダー[[#This Row],[日付]])</f>
        <v>2026</v>
      </c>
      <c r="D1026" s="1">
        <f>IF(W_カレンダー[[#This Row],[月]]&lt;=3,W_カレンダー[[#This Row],[暦年]]-1,W_カレンダー[[#This Row],[暦年]])</f>
        <v>2025</v>
      </c>
      <c r="E1026" s="1" t="str">
        <f>IF(W_カレンダー[[#This Row],[月]]&lt;=3,"Q4",IF(W_カレンダー[[#This Row],[月]]&lt;=6,"Q1",IF(W_カレンダー[[#This Row],[月]]&lt;=9,"Q2","Q3")))</f>
        <v>Q4</v>
      </c>
    </row>
    <row r="1027" spans="1:5" ht="18" customHeight="1" x14ac:dyDescent="0.25">
      <c r="A1027" s="27">
        <v>46042</v>
      </c>
      <c r="B1027" s="29">
        <f>MONTH(W_カレンダー[[#This Row],[日付]])</f>
        <v>1</v>
      </c>
      <c r="C1027" s="1">
        <f>YEAR(W_カレンダー[[#This Row],[日付]])</f>
        <v>2026</v>
      </c>
      <c r="D1027" s="1">
        <f>IF(W_カレンダー[[#This Row],[月]]&lt;=3,W_カレンダー[[#This Row],[暦年]]-1,W_カレンダー[[#This Row],[暦年]])</f>
        <v>2025</v>
      </c>
      <c r="E1027" s="1" t="str">
        <f>IF(W_カレンダー[[#This Row],[月]]&lt;=3,"Q4",IF(W_カレンダー[[#This Row],[月]]&lt;=6,"Q1",IF(W_カレンダー[[#This Row],[月]]&lt;=9,"Q2","Q3")))</f>
        <v>Q4</v>
      </c>
    </row>
    <row r="1028" spans="1:5" ht="18" customHeight="1" x14ac:dyDescent="0.25">
      <c r="A1028" s="27">
        <v>46043</v>
      </c>
      <c r="B1028" s="29">
        <f>MONTH(W_カレンダー[[#This Row],[日付]])</f>
        <v>1</v>
      </c>
      <c r="C1028" s="1">
        <f>YEAR(W_カレンダー[[#This Row],[日付]])</f>
        <v>2026</v>
      </c>
      <c r="D1028" s="1">
        <f>IF(W_カレンダー[[#This Row],[月]]&lt;=3,W_カレンダー[[#This Row],[暦年]]-1,W_カレンダー[[#This Row],[暦年]])</f>
        <v>2025</v>
      </c>
      <c r="E1028" s="1" t="str">
        <f>IF(W_カレンダー[[#This Row],[月]]&lt;=3,"Q4",IF(W_カレンダー[[#This Row],[月]]&lt;=6,"Q1",IF(W_カレンダー[[#This Row],[月]]&lt;=9,"Q2","Q3")))</f>
        <v>Q4</v>
      </c>
    </row>
    <row r="1029" spans="1:5" ht="18" customHeight="1" x14ac:dyDescent="0.25">
      <c r="A1029" s="27">
        <v>46044</v>
      </c>
      <c r="B1029" s="29">
        <f>MONTH(W_カレンダー[[#This Row],[日付]])</f>
        <v>1</v>
      </c>
      <c r="C1029" s="1">
        <f>YEAR(W_カレンダー[[#This Row],[日付]])</f>
        <v>2026</v>
      </c>
      <c r="D1029" s="1">
        <f>IF(W_カレンダー[[#This Row],[月]]&lt;=3,W_カレンダー[[#This Row],[暦年]]-1,W_カレンダー[[#This Row],[暦年]])</f>
        <v>2025</v>
      </c>
      <c r="E1029" s="1" t="str">
        <f>IF(W_カレンダー[[#This Row],[月]]&lt;=3,"Q4",IF(W_カレンダー[[#This Row],[月]]&lt;=6,"Q1",IF(W_カレンダー[[#This Row],[月]]&lt;=9,"Q2","Q3")))</f>
        <v>Q4</v>
      </c>
    </row>
    <row r="1030" spans="1:5" ht="18" customHeight="1" x14ac:dyDescent="0.25">
      <c r="A1030" s="27">
        <v>46045</v>
      </c>
      <c r="B1030" s="29">
        <f>MONTH(W_カレンダー[[#This Row],[日付]])</f>
        <v>1</v>
      </c>
      <c r="C1030" s="1">
        <f>YEAR(W_カレンダー[[#This Row],[日付]])</f>
        <v>2026</v>
      </c>
      <c r="D1030" s="1">
        <f>IF(W_カレンダー[[#This Row],[月]]&lt;=3,W_カレンダー[[#This Row],[暦年]]-1,W_カレンダー[[#This Row],[暦年]])</f>
        <v>2025</v>
      </c>
      <c r="E1030" s="1" t="str">
        <f>IF(W_カレンダー[[#This Row],[月]]&lt;=3,"Q4",IF(W_カレンダー[[#This Row],[月]]&lt;=6,"Q1",IF(W_カレンダー[[#This Row],[月]]&lt;=9,"Q2","Q3")))</f>
        <v>Q4</v>
      </c>
    </row>
    <row r="1031" spans="1:5" ht="18" customHeight="1" x14ac:dyDescent="0.25">
      <c r="A1031" s="27">
        <v>46046</v>
      </c>
      <c r="B1031" s="29">
        <f>MONTH(W_カレンダー[[#This Row],[日付]])</f>
        <v>1</v>
      </c>
      <c r="C1031" s="1">
        <f>YEAR(W_カレンダー[[#This Row],[日付]])</f>
        <v>2026</v>
      </c>
      <c r="D1031" s="1">
        <f>IF(W_カレンダー[[#This Row],[月]]&lt;=3,W_カレンダー[[#This Row],[暦年]]-1,W_カレンダー[[#This Row],[暦年]])</f>
        <v>2025</v>
      </c>
      <c r="E1031" s="1" t="str">
        <f>IF(W_カレンダー[[#This Row],[月]]&lt;=3,"Q4",IF(W_カレンダー[[#This Row],[月]]&lt;=6,"Q1",IF(W_カレンダー[[#This Row],[月]]&lt;=9,"Q2","Q3")))</f>
        <v>Q4</v>
      </c>
    </row>
    <row r="1032" spans="1:5" ht="18" customHeight="1" x14ac:dyDescent="0.25">
      <c r="A1032" s="27">
        <v>46047</v>
      </c>
      <c r="B1032" s="29">
        <f>MONTH(W_カレンダー[[#This Row],[日付]])</f>
        <v>1</v>
      </c>
      <c r="C1032" s="1">
        <f>YEAR(W_カレンダー[[#This Row],[日付]])</f>
        <v>2026</v>
      </c>
      <c r="D1032" s="1">
        <f>IF(W_カレンダー[[#This Row],[月]]&lt;=3,W_カレンダー[[#This Row],[暦年]]-1,W_カレンダー[[#This Row],[暦年]])</f>
        <v>2025</v>
      </c>
      <c r="E1032" s="1" t="str">
        <f>IF(W_カレンダー[[#This Row],[月]]&lt;=3,"Q4",IF(W_カレンダー[[#This Row],[月]]&lt;=6,"Q1",IF(W_カレンダー[[#This Row],[月]]&lt;=9,"Q2","Q3")))</f>
        <v>Q4</v>
      </c>
    </row>
    <row r="1033" spans="1:5" ht="18" customHeight="1" x14ac:dyDescent="0.25">
      <c r="A1033" s="27">
        <v>46048</v>
      </c>
      <c r="B1033" s="29">
        <f>MONTH(W_カレンダー[[#This Row],[日付]])</f>
        <v>1</v>
      </c>
      <c r="C1033" s="1">
        <f>YEAR(W_カレンダー[[#This Row],[日付]])</f>
        <v>2026</v>
      </c>
      <c r="D1033" s="1">
        <f>IF(W_カレンダー[[#This Row],[月]]&lt;=3,W_カレンダー[[#This Row],[暦年]]-1,W_カレンダー[[#This Row],[暦年]])</f>
        <v>2025</v>
      </c>
      <c r="E1033" s="1" t="str">
        <f>IF(W_カレンダー[[#This Row],[月]]&lt;=3,"Q4",IF(W_カレンダー[[#This Row],[月]]&lt;=6,"Q1",IF(W_カレンダー[[#This Row],[月]]&lt;=9,"Q2","Q3")))</f>
        <v>Q4</v>
      </c>
    </row>
    <row r="1034" spans="1:5" ht="18" customHeight="1" x14ac:dyDescent="0.25">
      <c r="A1034" s="27">
        <v>46049</v>
      </c>
      <c r="B1034" s="29">
        <f>MONTH(W_カレンダー[[#This Row],[日付]])</f>
        <v>1</v>
      </c>
      <c r="C1034" s="1">
        <f>YEAR(W_カレンダー[[#This Row],[日付]])</f>
        <v>2026</v>
      </c>
      <c r="D1034" s="1">
        <f>IF(W_カレンダー[[#This Row],[月]]&lt;=3,W_カレンダー[[#This Row],[暦年]]-1,W_カレンダー[[#This Row],[暦年]])</f>
        <v>2025</v>
      </c>
      <c r="E1034" s="1" t="str">
        <f>IF(W_カレンダー[[#This Row],[月]]&lt;=3,"Q4",IF(W_カレンダー[[#This Row],[月]]&lt;=6,"Q1",IF(W_カレンダー[[#This Row],[月]]&lt;=9,"Q2","Q3")))</f>
        <v>Q4</v>
      </c>
    </row>
    <row r="1035" spans="1:5" ht="18" customHeight="1" x14ac:dyDescent="0.25">
      <c r="A1035" s="27">
        <v>46050</v>
      </c>
      <c r="B1035" s="29">
        <f>MONTH(W_カレンダー[[#This Row],[日付]])</f>
        <v>1</v>
      </c>
      <c r="C1035" s="1">
        <f>YEAR(W_カレンダー[[#This Row],[日付]])</f>
        <v>2026</v>
      </c>
      <c r="D1035" s="1">
        <f>IF(W_カレンダー[[#This Row],[月]]&lt;=3,W_カレンダー[[#This Row],[暦年]]-1,W_カレンダー[[#This Row],[暦年]])</f>
        <v>2025</v>
      </c>
      <c r="E1035" s="1" t="str">
        <f>IF(W_カレンダー[[#This Row],[月]]&lt;=3,"Q4",IF(W_カレンダー[[#This Row],[月]]&lt;=6,"Q1",IF(W_カレンダー[[#This Row],[月]]&lt;=9,"Q2","Q3")))</f>
        <v>Q4</v>
      </c>
    </row>
    <row r="1036" spans="1:5" ht="18" customHeight="1" x14ac:dyDescent="0.25">
      <c r="A1036" s="27">
        <v>46051</v>
      </c>
      <c r="B1036" s="29">
        <f>MONTH(W_カレンダー[[#This Row],[日付]])</f>
        <v>1</v>
      </c>
      <c r="C1036" s="1">
        <f>YEAR(W_カレンダー[[#This Row],[日付]])</f>
        <v>2026</v>
      </c>
      <c r="D1036" s="1">
        <f>IF(W_カレンダー[[#This Row],[月]]&lt;=3,W_カレンダー[[#This Row],[暦年]]-1,W_カレンダー[[#This Row],[暦年]])</f>
        <v>2025</v>
      </c>
      <c r="E1036" s="1" t="str">
        <f>IF(W_カレンダー[[#This Row],[月]]&lt;=3,"Q4",IF(W_カレンダー[[#This Row],[月]]&lt;=6,"Q1",IF(W_カレンダー[[#This Row],[月]]&lt;=9,"Q2","Q3")))</f>
        <v>Q4</v>
      </c>
    </row>
    <row r="1037" spans="1:5" ht="18" customHeight="1" x14ac:dyDescent="0.25">
      <c r="A1037" s="27">
        <v>46052</v>
      </c>
      <c r="B1037" s="29">
        <f>MONTH(W_カレンダー[[#This Row],[日付]])</f>
        <v>1</v>
      </c>
      <c r="C1037" s="1">
        <f>YEAR(W_カレンダー[[#This Row],[日付]])</f>
        <v>2026</v>
      </c>
      <c r="D1037" s="1">
        <f>IF(W_カレンダー[[#This Row],[月]]&lt;=3,W_カレンダー[[#This Row],[暦年]]-1,W_カレンダー[[#This Row],[暦年]])</f>
        <v>2025</v>
      </c>
      <c r="E1037" s="1" t="str">
        <f>IF(W_カレンダー[[#This Row],[月]]&lt;=3,"Q4",IF(W_カレンダー[[#This Row],[月]]&lt;=6,"Q1",IF(W_カレンダー[[#This Row],[月]]&lt;=9,"Q2","Q3")))</f>
        <v>Q4</v>
      </c>
    </row>
    <row r="1038" spans="1:5" ht="18" customHeight="1" x14ac:dyDescent="0.25">
      <c r="A1038" s="27">
        <v>46053</v>
      </c>
      <c r="B1038" s="29">
        <f>MONTH(W_カレンダー[[#This Row],[日付]])</f>
        <v>1</v>
      </c>
      <c r="C1038" s="1">
        <f>YEAR(W_カレンダー[[#This Row],[日付]])</f>
        <v>2026</v>
      </c>
      <c r="D1038" s="1">
        <f>IF(W_カレンダー[[#This Row],[月]]&lt;=3,W_カレンダー[[#This Row],[暦年]]-1,W_カレンダー[[#This Row],[暦年]])</f>
        <v>2025</v>
      </c>
      <c r="E1038" s="1" t="str">
        <f>IF(W_カレンダー[[#This Row],[月]]&lt;=3,"Q4",IF(W_カレンダー[[#This Row],[月]]&lt;=6,"Q1",IF(W_カレンダー[[#This Row],[月]]&lt;=9,"Q2","Q3")))</f>
        <v>Q4</v>
      </c>
    </row>
    <row r="1039" spans="1:5" ht="18" customHeight="1" x14ac:dyDescent="0.25">
      <c r="A1039" s="27">
        <v>46054</v>
      </c>
      <c r="B1039" s="29">
        <f>MONTH(W_カレンダー[[#This Row],[日付]])</f>
        <v>2</v>
      </c>
      <c r="C1039" s="1">
        <f>YEAR(W_カレンダー[[#This Row],[日付]])</f>
        <v>2026</v>
      </c>
      <c r="D1039" s="1">
        <f>IF(W_カレンダー[[#This Row],[月]]&lt;=3,W_カレンダー[[#This Row],[暦年]]-1,W_カレンダー[[#This Row],[暦年]])</f>
        <v>2025</v>
      </c>
      <c r="E1039" s="1" t="str">
        <f>IF(W_カレンダー[[#This Row],[月]]&lt;=3,"Q4",IF(W_カレンダー[[#This Row],[月]]&lt;=6,"Q1",IF(W_カレンダー[[#This Row],[月]]&lt;=9,"Q2","Q3")))</f>
        <v>Q4</v>
      </c>
    </row>
    <row r="1040" spans="1:5" ht="18" customHeight="1" x14ac:dyDescent="0.25">
      <c r="A1040" s="27">
        <v>46055</v>
      </c>
      <c r="B1040" s="29">
        <f>MONTH(W_カレンダー[[#This Row],[日付]])</f>
        <v>2</v>
      </c>
      <c r="C1040" s="1">
        <f>YEAR(W_カレンダー[[#This Row],[日付]])</f>
        <v>2026</v>
      </c>
      <c r="D1040" s="1">
        <f>IF(W_カレンダー[[#This Row],[月]]&lt;=3,W_カレンダー[[#This Row],[暦年]]-1,W_カレンダー[[#This Row],[暦年]])</f>
        <v>2025</v>
      </c>
      <c r="E1040" s="1" t="str">
        <f>IF(W_カレンダー[[#This Row],[月]]&lt;=3,"Q4",IF(W_カレンダー[[#This Row],[月]]&lt;=6,"Q1",IF(W_カレンダー[[#This Row],[月]]&lt;=9,"Q2","Q3")))</f>
        <v>Q4</v>
      </c>
    </row>
    <row r="1041" spans="1:5" ht="18" customHeight="1" x14ac:dyDescent="0.25">
      <c r="A1041" s="27">
        <v>46056</v>
      </c>
      <c r="B1041" s="29">
        <f>MONTH(W_カレンダー[[#This Row],[日付]])</f>
        <v>2</v>
      </c>
      <c r="C1041" s="1">
        <f>YEAR(W_カレンダー[[#This Row],[日付]])</f>
        <v>2026</v>
      </c>
      <c r="D1041" s="1">
        <f>IF(W_カレンダー[[#This Row],[月]]&lt;=3,W_カレンダー[[#This Row],[暦年]]-1,W_カレンダー[[#This Row],[暦年]])</f>
        <v>2025</v>
      </c>
      <c r="E1041" s="1" t="str">
        <f>IF(W_カレンダー[[#This Row],[月]]&lt;=3,"Q4",IF(W_カレンダー[[#This Row],[月]]&lt;=6,"Q1",IF(W_カレンダー[[#This Row],[月]]&lt;=9,"Q2","Q3")))</f>
        <v>Q4</v>
      </c>
    </row>
    <row r="1042" spans="1:5" ht="18" customHeight="1" x14ac:dyDescent="0.25">
      <c r="A1042" s="27">
        <v>46057</v>
      </c>
      <c r="B1042" s="29">
        <f>MONTH(W_カレンダー[[#This Row],[日付]])</f>
        <v>2</v>
      </c>
      <c r="C1042" s="1">
        <f>YEAR(W_カレンダー[[#This Row],[日付]])</f>
        <v>2026</v>
      </c>
      <c r="D1042" s="1">
        <f>IF(W_カレンダー[[#This Row],[月]]&lt;=3,W_カレンダー[[#This Row],[暦年]]-1,W_カレンダー[[#This Row],[暦年]])</f>
        <v>2025</v>
      </c>
      <c r="E1042" s="1" t="str">
        <f>IF(W_カレンダー[[#This Row],[月]]&lt;=3,"Q4",IF(W_カレンダー[[#This Row],[月]]&lt;=6,"Q1",IF(W_カレンダー[[#This Row],[月]]&lt;=9,"Q2","Q3")))</f>
        <v>Q4</v>
      </c>
    </row>
    <row r="1043" spans="1:5" ht="18" customHeight="1" x14ac:dyDescent="0.25">
      <c r="A1043" s="27">
        <v>46058</v>
      </c>
      <c r="B1043" s="29">
        <f>MONTH(W_カレンダー[[#This Row],[日付]])</f>
        <v>2</v>
      </c>
      <c r="C1043" s="1">
        <f>YEAR(W_カレンダー[[#This Row],[日付]])</f>
        <v>2026</v>
      </c>
      <c r="D1043" s="1">
        <f>IF(W_カレンダー[[#This Row],[月]]&lt;=3,W_カレンダー[[#This Row],[暦年]]-1,W_カレンダー[[#This Row],[暦年]])</f>
        <v>2025</v>
      </c>
      <c r="E1043" s="1" t="str">
        <f>IF(W_カレンダー[[#This Row],[月]]&lt;=3,"Q4",IF(W_カレンダー[[#This Row],[月]]&lt;=6,"Q1",IF(W_カレンダー[[#This Row],[月]]&lt;=9,"Q2","Q3")))</f>
        <v>Q4</v>
      </c>
    </row>
    <row r="1044" spans="1:5" ht="18" customHeight="1" x14ac:dyDescent="0.25">
      <c r="A1044" s="27">
        <v>46059</v>
      </c>
      <c r="B1044" s="29">
        <f>MONTH(W_カレンダー[[#This Row],[日付]])</f>
        <v>2</v>
      </c>
      <c r="C1044" s="1">
        <f>YEAR(W_カレンダー[[#This Row],[日付]])</f>
        <v>2026</v>
      </c>
      <c r="D1044" s="1">
        <f>IF(W_カレンダー[[#This Row],[月]]&lt;=3,W_カレンダー[[#This Row],[暦年]]-1,W_カレンダー[[#This Row],[暦年]])</f>
        <v>2025</v>
      </c>
      <c r="E1044" s="1" t="str">
        <f>IF(W_カレンダー[[#This Row],[月]]&lt;=3,"Q4",IF(W_カレンダー[[#This Row],[月]]&lt;=6,"Q1",IF(W_カレンダー[[#This Row],[月]]&lt;=9,"Q2","Q3")))</f>
        <v>Q4</v>
      </c>
    </row>
    <row r="1045" spans="1:5" ht="18" customHeight="1" x14ac:dyDescent="0.25">
      <c r="A1045" s="27">
        <v>46060</v>
      </c>
      <c r="B1045" s="29">
        <f>MONTH(W_カレンダー[[#This Row],[日付]])</f>
        <v>2</v>
      </c>
      <c r="C1045" s="1">
        <f>YEAR(W_カレンダー[[#This Row],[日付]])</f>
        <v>2026</v>
      </c>
      <c r="D1045" s="1">
        <f>IF(W_カレンダー[[#This Row],[月]]&lt;=3,W_カレンダー[[#This Row],[暦年]]-1,W_カレンダー[[#This Row],[暦年]])</f>
        <v>2025</v>
      </c>
      <c r="E1045" s="1" t="str">
        <f>IF(W_カレンダー[[#This Row],[月]]&lt;=3,"Q4",IF(W_カレンダー[[#This Row],[月]]&lt;=6,"Q1",IF(W_カレンダー[[#This Row],[月]]&lt;=9,"Q2","Q3")))</f>
        <v>Q4</v>
      </c>
    </row>
    <row r="1046" spans="1:5" ht="18" customHeight="1" x14ac:dyDescent="0.25">
      <c r="A1046" s="27">
        <v>46061</v>
      </c>
      <c r="B1046" s="29">
        <f>MONTH(W_カレンダー[[#This Row],[日付]])</f>
        <v>2</v>
      </c>
      <c r="C1046" s="1">
        <f>YEAR(W_カレンダー[[#This Row],[日付]])</f>
        <v>2026</v>
      </c>
      <c r="D1046" s="1">
        <f>IF(W_カレンダー[[#This Row],[月]]&lt;=3,W_カレンダー[[#This Row],[暦年]]-1,W_カレンダー[[#This Row],[暦年]])</f>
        <v>2025</v>
      </c>
      <c r="E1046" s="1" t="str">
        <f>IF(W_カレンダー[[#This Row],[月]]&lt;=3,"Q4",IF(W_カレンダー[[#This Row],[月]]&lt;=6,"Q1",IF(W_カレンダー[[#This Row],[月]]&lt;=9,"Q2","Q3")))</f>
        <v>Q4</v>
      </c>
    </row>
    <row r="1047" spans="1:5" ht="18" customHeight="1" x14ac:dyDescent="0.25">
      <c r="A1047" s="27">
        <v>46062</v>
      </c>
      <c r="B1047" s="29">
        <f>MONTH(W_カレンダー[[#This Row],[日付]])</f>
        <v>2</v>
      </c>
      <c r="C1047" s="1">
        <f>YEAR(W_カレンダー[[#This Row],[日付]])</f>
        <v>2026</v>
      </c>
      <c r="D1047" s="1">
        <f>IF(W_カレンダー[[#This Row],[月]]&lt;=3,W_カレンダー[[#This Row],[暦年]]-1,W_カレンダー[[#This Row],[暦年]])</f>
        <v>2025</v>
      </c>
      <c r="E1047" s="1" t="str">
        <f>IF(W_カレンダー[[#This Row],[月]]&lt;=3,"Q4",IF(W_カレンダー[[#This Row],[月]]&lt;=6,"Q1",IF(W_カレンダー[[#This Row],[月]]&lt;=9,"Q2","Q3")))</f>
        <v>Q4</v>
      </c>
    </row>
    <row r="1048" spans="1:5" ht="18" customHeight="1" x14ac:dyDescent="0.25">
      <c r="A1048" s="27">
        <v>46063</v>
      </c>
      <c r="B1048" s="29">
        <f>MONTH(W_カレンダー[[#This Row],[日付]])</f>
        <v>2</v>
      </c>
      <c r="C1048" s="1">
        <f>YEAR(W_カレンダー[[#This Row],[日付]])</f>
        <v>2026</v>
      </c>
      <c r="D1048" s="1">
        <f>IF(W_カレンダー[[#This Row],[月]]&lt;=3,W_カレンダー[[#This Row],[暦年]]-1,W_カレンダー[[#This Row],[暦年]])</f>
        <v>2025</v>
      </c>
      <c r="E1048" s="1" t="str">
        <f>IF(W_カレンダー[[#This Row],[月]]&lt;=3,"Q4",IF(W_カレンダー[[#This Row],[月]]&lt;=6,"Q1",IF(W_カレンダー[[#This Row],[月]]&lt;=9,"Q2","Q3")))</f>
        <v>Q4</v>
      </c>
    </row>
    <row r="1049" spans="1:5" ht="18" customHeight="1" x14ac:dyDescent="0.25">
      <c r="A1049" s="27">
        <v>46064</v>
      </c>
      <c r="B1049" s="29">
        <f>MONTH(W_カレンダー[[#This Row],[日付]])</f>
        <v>2</v>
      </c>
      <c r="C1049" s="1">
        <f>YEAR(W_カレンダー[[#This Row],[日付]])</f>
        <v>2026</v>
      </c>
      <c r="D1049" s="1">
        <f>IF(W_カレンダー[[#This Row],[月]]&lt;=3,W_カレンダー[[#This Row],[暦年]]-1,W_カレンダー[[#This Row],[暦年]])</f>
        <v>2025</v>
      </c>
      <c r="E1049" s="1" t="str">
        <f>IF(W_カレンダー[[#This Row],[月]]&lt;=3,"Q4",IF(W_カレンダー[[#This Row],[月]]&lt;=6,"Q1",IF(W_カレンダー[[#This Row],[月]]&lt;=9,"Q2","Q3")))</f>
        <v>Q4</v>
      </c>
    </row>
    <row r="1050" spans="1:5" ht="18" customHeight="1" x14ac:dyDescent="0.25">
      <c r="A1050" s="27">
        <v>46065</v>
      </c>
      <c r="B1050" s="29">
        <f>MONTH(W_カレンダー[[#This Row],[日付]])</f>
        <v>2</v>
      </c>
      <c r="C1050" s="1">
        <f>YEAR(W_カレンダー[[#This Row],[日付]])</f>
        <v>2026</v>
      </c>
      <c r="D1050" s="1">
        <f>IF(W_カレンダー[[#This Row],[月]]&lt;=3,W_カレンダー[[#This Row],[暦年]]-1,W_カレンダー[[#This Row],[暦年]])</f>
        <v>2025</v>
      </c>
      <c r="E1050" s="1" t="str">
        <f>IF(W_カレンダー[[#This Row],[月]]&lt;=3,"Q4",IF(W_カレンダー[[#This Row],[月]]&lt;=6,"Q1",IF(W_カレンダー[[#This Row],[月]]&lt;=9,"Q2","Q3")))</f>
        <v>Q4</v>
      </c>
    </row>
    <row r="1051" spans="1:5" ht="18" customHeight="1" x14ac:dyDescent="0.25">
      <c r="A1051" s="27">
        <v>46066</v>
      </c>
      <c r="B1051" s="29">
        <f>MONTH(W_カレンダー[[#This Row],[日付]])</f>
        <v>2</v>
      </c>
      <c r="C1051" s="1">
        <f>YEAR(W_カレンダー[[#This Row],[日付]])</f>
        <v>2026</v>
      </c>
      <c r="D1051" s="1">
        <f>IF(W_カレンダー[[#This Row],[月]]&lt;=3,W_カレンダー[[#This Row],[暦年]]-1,W_カレンダー[[#This Row],[暦年]])</f>
        <v>2025</v>
      </c>
      <c r="E1051" s="1" t="str">
        <f>IF(W_カレンダー[[#This Row],[月]]&lt;=3,"Q4",IF(W_カレンダー[[#This Row],[月]]&lt;=6,"Q1",IF(W_カレンダー[[#This Row],[月]]&lt;=9,"Q2","Q3")))</f>
        <v>Q4</v>
      </c>
    </row>
    <row r="1052" spans="1:5" ht="18" customHeight="1" x14ac:dyDescent="0.25">
      <c r="A1052" s="27">
        <v>46067</v>
      </c>
      <c r="B1052" s="29">
        <f>MONTH(W_カレンダー[[#This Row],[日付]])</f>
        <v>2</v>
      </c>
      <c r="C1052" s="1">
        <f>YEAR(W_カレンダー[[#This Row],[日付]])</f>
        <v>2026</v>
      </c>
      <c r="D1052" s="1">
        <f>IF(W_カレンダー[[#This Row],[月]]&lt;=3,W_カレンダー[[#This Row],[暦年]]-1,W_カレンダー[[#This Row],[暦年]])</f>
        <v>2025</v>
      </c>
      <c r="E1052" s="1" t="str">
        <f>IF(W_カレンダー[[#This Row],[月]]&lt;=3,"Q4",IF(W_カレンダー[[#This Row],[月]]&lt;=6,"Q1",IF(W_カレンダー[[#This Row],[月]]&lt;=9,"Q2","Q3")))</f>
        <v>Q4</v>
      </c>
    </row>
    <row r="1053" spans="1:5" ht="18" customHeight="1" x14ac:dyDescent="0.25">
      <c r="A1053" s="27">
        <v>46068</v>
      </c>
      <c r="B1053" s="29">
        <f>MONTH(W_カレンダー[[#This Row],[日付]])</f>
        <v>2</v>
      </c>
      <c r="C1053" s="1">
        <f>YEAR(W_カレンダー[[#This Row],[日付]])</f>
        <v>2026</v>
      </c>
      <c r="D1053" s="1">
        <f>IF(W_カレンダー[[#This Row],[月]]&lt;=3,W_カレンダー[[#This Row],[暦年]]-1,W_カレンダー[[#This Row],[暦年]])</f>
        <v>2025</v>
      </c>
      <c r="E1053" s="1" t="str">
        <f>IF(W_カレンダー[[#This Row],[月]]&lt;=3,"Q4",IF(W_カレンダー[[#This Row],[月]]&lt;=6,"Q1",IF(W_カレンダー[[#This Row],[月]]&lt;=9,"Q2","Q3")))</f>
        <v>Q4</v>
      </c>
    </row>
    <row r="1054" spans="1:5" ht="18" customHeight="1" x14ac:dyDescent="0.25">
      <c r="A1054" s="27">
        <v>46069</v>
      </c>
      <c r="B1054" s="29">
        <f>MONTH(W_カレンダー[[#This Row],[日付]])</f>
        <v>2</v>
      </c>
      <c r="C1054" s="1">
        <f>YEAR(W_カレンダー[[#This Row],[日付]])</f>
        <v>2026</v>
      </c>
      <c r="D1054" s="1">
        <f>IF(W_カレンダー[[#This Row],[月]]&lt;=3,W_カレンダー[[#This Row],[暦年]]-1,W_カレンダー[[#This Row],[暦年]])</f>
        <v>2025</v>
      </c>
      <c r="E1054" s="1" t="str">
        <f>IF(W_カレンダー[[#This Row],[月]]&lt;=3,"Q4",IF(W_カレンダー[[#This Row],[月]]&lt;=6,"Q1",IF(W_カレンダー[[#This Row],[月]]&lt;=9,"Q2","Q3")))</f>
        <v>Q4</v>
      </c>
    </row>
    <row r="1055" spans="1:5" ht="18" customHeight="1" x14ac:dyDescent="0.25">
      <c r="A1055" s="27">
        <v>46070</v>
      </c>
      <c r="B1055" s="29">
        <f>MONTH(W_カレンダー[[#This Row],[日付]])</f>
        <v>2</v>
      </c>
      <c r="C1055" s="1">
        <f>YEAR(W_カレンダー[[#This Row],[日付]])</f>
        <v>2026</v>
      </c>
      <c r="D1055" s="1">
        <f>IF(W_カレンダー[[#This Row],[月]]&lt;=3,W_カレンダー[[#This Row],[暦年]]-1,W_カレンダー[[#This Row],[暦年]])</f>
        <v>2025</v>
      </c>
      <c r="E1055" s="1" t="str">
        <f>IF(W_カレンダー[[#This Row],[月]]&lt;=3,"Q4",IF(W_カレンダー[[#This Row],[月]]&lt;=6,"Q1",IF(W_カレンダー[[#This Row],[月]]&lt;=9,"Q2","Q3")))</f>
        <v>Q4</v>
      </c>
    </row>
    <row r="1056" spans="1:5" ht="18" customHeight="1" x14ac:dyDescent="0.25">
      <c r="A1056" s="27">
        <v>46071</v>
      </c>
      <c r="B1056" s="29">
        <f>MONTH(W_カレンダー[[#This Row],[日付]])</f>
        <v>2</v>
      </c>
      <c r="C1056" s="1">
        <f>YEAR(W_カレンダー[[#This Row],[日付]])</f>
        <v>2026</v>
      </c>
      <c r="D1056" s="1">
        <f>IF(W_カレンダー[[#This Row],[月]]&lt;=3,W_カレンダー[[#This Row],[暦年]]-1,W_カレンダー[[#This Row],[暦年]])</f>
        <v>2025</v>
      </c>
      <c r="E1056" s="1" t="str">
        <f>IF(W_カレンダー[[#This Row],[月]]&lt;=3,"Q4",IF(W_カレンダー[[#This Row],[月]]&lt;=6,"Q1",IF(W_カレンダー[[#This Row],[月]]&lt;=9,"Q2","Q3")))</f>
        <v>Q4</v>
      </c>
    </row>
    <row r="1057" spans="1:5" ht="18" customHeight="1" x14ac:dyDescent="0.25">
      <c r="A1057" s="27">
        <v>46072</v>
      </c>
      <c r="B1057" s="29">
        <f>MONTH(W_カレンダー[[#This Row],[日付]])</f>
        <v>2</v>
      </c>
      <c r="C1057" s="1">
        <f>YEAR(W_カレンダー[[#This Row],[日付]])</f>
        <v>2026</v>
      </c>
      <c r="D1057" s="1">
        <f>IF(W_カレンダー[[#This Row],[月]]&lt;=3,W_カレンダー[[#This Row],[暦年]]-1,W_カレンダー[[#This Row],[暦年]])</f>
        <v>2025</v>
      </c>
      <c r="E1057" s="1" t="str">
        <f>IF(W_カレンダー[[#This Row],[月]]&lt;=3,"Q4",IF(W_カレンダー[[#This Row],[月]]&lt;=6,"Q1",IF(W_カレンダー[[#This Row],[月]]&lt;=9,"Q2","Q3")))</f>
        <v>Q4</v>
      </c>
    </row>
    <row r="1058" spans="1:5" ht="18" customHeight="1" x14ac:dyDescent="0.25">
      <c r="A1058" s="27">
        <v>46073</v>
      </c>
      <c r="B1058" s="29">
        <f>MONTH(W_カレンダー[[#This Row],[日付]])</f>
        <v>2</v>
      </c>
      <c r="C1058" s="1">
        <f>YEAR(W_カレンダー[[#This Row],[日付]])</f>
        <v>2026</v>
      </c>
      <c r="D1058" s="1">
        <f>IF(W_カレンダー[[#This Row],[月]]&lt;=3,W_カレンダー[[#This Row],[暦年]]-1,W_カレンダー[[#This Row],[暦年]])</f>
        <v>2025</v>
      </c>
      <c r="E1058" s="1" t="str">
        <f>IF(W_カレンダー[[#This Row],[月]]&lt;=3,"Q4",IF(W_カレンダー[[#This Row],[月]]&lt;=6,"Q1",IF(W_カレンダー[[#This Row],[月]]&lt;=9,"Q2","Q3")))</f>
        <v>Q4</v>
      </c>
    </row>
    <row r="1059" spans="1:5" ht="18" customHeight="1" x14ac:dyDescent="0.25">
      <c r="A1059" s="27">
        <v>46074</v>
      </c>
      <c r="B1059" s="29">
        <f>MONTH(W_カレンダー[[#This Row],[日付]])</f>
        <v>2</v>
      </c>
      <c r="C1059" s="1">
        <f>YEAR(W_カレンダー[[#This Row],[日付]])</f>
        <v>2026</v>
      </c>
      <c r="D1059" s="1">
        <f>IF(W_カレンダー[[#This Row],[月]]&lt;=3,W_カレンダー[[#This Row],[暦年]]-1,W_カレンダー[[#This Row],[暦年]])</f>
        <v>2025</v>
      </c>
      <c r="E1059" s="1" t="str">
        <f>IF(W_カレンダー[[#This Row],[月]]&lt;=3,"Q4",IF(W_カレンダー[[#This Row],[月]]&lt;=6,"Q1",IF(W_カレンダー[[#This Row],[月]]&lt;=9,"Q2","Q3")))</f>
        <v>Q4</v>
      </c>
    </row>
    <row r="1060" spans="1:5" ht="18" customHeight="1" x14ac:dyDescent="0.25">
      <c r="A1060" s="27">
        <v>46075</v>
      </c>
      <c r="B1060" s="29">
        <f>MONTH(W_カレンダー[[#This Row],[日付]])</f>
        <v>2</v>
      </c>
      <c r="C1060" s="1">
        <f>YEAR(W_カレンダー[[#This Row],[日付]])</f>
        <v>2026</v>
      </c>
      <c r="D1060" s="1">
        <f>IF(W_カレンダー[[#This Row],[月]]&lt;=3,W_カレンダー[[#This Row],[暦年]]-1,W_カレンダー[[#This Row],[暦年]])</f>
        <v>2025</v>
      </c>
      <c r="E1060" s="1" t="str">
        <f>IF(W_カレンダー[[#This Row],[月]]&lt;=3,"Q4",IF(W_カレンダー[[#This Row],[月]]&lt;=6,"Q1",IF(W_カレンダー[[#This Row],[月]]&lt;=9,"Q2","Q3")))</f>
        <v>Q4</v>
      </c>
    </row>
    <row r="1061" spans="1:5" ht="18" customHeight="1" x14ac:dyDescent="0.25">
      <c r="A1061" s="27">
        <v>46076</v>
      </c>
      <c r="B1061" s="29">
        <f>MONTH(W_カレンダー[[#This Row],[日付]])</f>
        <v>2</v>
      </c>
      <c r="C1061" s="1">
        <f>YEAR(W_カレンダー[[#This Row],[日付]])</f>
        <v>2026</v>
      </c>
      <c r="D1061" s="1">
        <f>IF(W_カレンダー[[#This Row],[月]]&lt;=3,W_カレンダー[[#This Row],[暦年]]-1,W_カレンダー[[#This Row],[暦年]])</f>
        <v>2025</v>
      </c>
      <c r="E1061" s="1" t="str">
        <f>IF(W_カレンダー[[#This Row],[月]]&lt;=3,"Q4",IF(W_カレンダー[[#This Row],[月]]&lt;=6,"Q1",IF(W_カレンダー[[#This Row],[月]]&lt;=9,"Q2","Q3")))</f>
        <v>Q4</v>
      </c>
    </row>
    <row r="1062" spans="1:5" ht="18" customHeight="1" x14ac:dyDescent="0.25">
      <c r="A1062" s="27">
        <v>46077</v>
      </c>
      <c r="B1062" s="29">
        <f>MONTH(W_カレンダー[[#This Row],[日付]])</f>
        <v>2</v>
      </c>
      <c r="C1062" s="1">
        <f>YEAR(W_カレンダー[[#This Row],[日付]])</f>
        <v>2026</v>
      </c>
      <c r="D1062" s="1">
        <f>IF(W_カレンダー[[#This Row],[月]]&lt;=3,W_カレンダー[[#This Row],[暦年]]-1,W_カレンダー[[#This Row],[暦年]])</f>
        <v>2025</v>
      </c>
      <c r="E1062" s="1" t="str">
        <f>IF(W_カレンダー[[#This Row],[月]]&lt;=3,"Q4",IF(W_カレンダー[[#This Row],[月]]&lt;=6,"Q1",IF(W_カレンダー[[#This Row],[月]]&lt;=9,"Q2","Q3")))</f>
        <v>Q4</v>
      </c>
    </row>
    <row r="1063" spans="1:5" ht="18" customHeight="1" x14ac:dyDescent="0.25">
      <c r="A1063" s="27">
        <v>46078</v>
      </c>
      <c r="B1063" s="29">
        <f>MONTH(W_カレンダー[[#This Row],[日付]])</f>
        <v>2</v>
      </c>
      <c r="C1063" s="1">
        <f>YEAR(W_カレンダー[[#This Row],[日付]])</f>
        <v>2026</v>
      </c>
      <c r="D1063" s="1">
        <f>IF(W_カレンダー[[#This Row],[月]]&lt;=3,W_カレンダー[[#This Row],[暦年]]-1,W_カレンダー[[#This Row],[暦年]])</f>
        <v>2025</v>
      </c>
      <c r="E1063" s="1" t="str">
        <f>IF(W_カレンダー[[#This Row],[月]]&lt;=3,"Q4",IF(W_カレンダー[[#This Row],[月]]&lt;=6,"Q1",IF(W_カレンダー[[#This Row],[月]]&lt;=9,"Q2","Q3")))</f>
        <v>Q4</v>
      </c>
    </row>
    <row r="1064" spans="1:5" ht="18" customHeight="1" x14ac:dyDescent="0.25">
      <c r="A1064" s="27">
        <v>46079</v>
      </c>
      <c r="B1064" s="29">
        <f>MONTH(W_カレンダー[[#This Row],[日付]])</f>
        <v>2</v>
      </c>
      <c r="C1064" s="1">
        <f>YEAR(W_カレンダー[[#This Row],[日付]])</f>
        <v>2026</v>
      </c>
      <c r="D1064" s="1">
        <f>IF(W_カレンダー[[#This Row],[月]]&lt;=3,W_カレンダー[[#This Row],[暦年]]-1,W_カレンダー[[#This Row],[暦年]])</f>
        <v>2025</v>
      </c>
      <c r="E1064" s="1" t="str">
        <f>IF(W_カレンダー[[#This Row],[月]]&lt;=3,"Q4",IF(W_カレンダー[[#This Row],[月]]&lt;=6,"Q1",IF(W_カレンダー[[#This Row],[月]]&lt;=9,"Q2","Q3")))</f>
        <v>Q4</v>
      </c>
    </row>
    <row r="1065" spans="1:5" ht="18" customHeight="1" x14ac:dyDescent="0.25">
      <c r="A1065" s="27">
        <v>46080</v>
      </c>
      <c r="B1065" s="29">
        <f>MONTH(W_カレンダー[[#This Row],[日付]])</f>
        <v>2</v>
      </c>
      <c r="C1065" s="1">
        <f>YEAR(W_カレンダー[[#This Row],[日付]])</f>
        <v>2026</v>
      </c>
      <c r="D1065" s="1">
        <f>IF(W_カレンダー[[#This Row],[月]]&lt;=3,W_カレンダー[[#This Row],[暦年]]-1,W_カレンダー[[#This Row],[暦年]])</f>
        <v>2025</v>
      </c>
      <c r="E1065" s="1" t="str">
        <f>IF(W_カレンダー[[#This Row],[月]]&lt;=3,"Q4",IF(W_カレンダー[[#This Row],[月]]&lt;=6,"Q1",IF(W_カレンダー[[#This Row],[月]]&lt;=9,"Q2","Q3")))</f>
        <v>Q4</v>
      </c>
    </row>
    <row r="1066" spans="1:5" ht="18" customHeight="1" x14ac:dyDescent="0.25">
      <c r="A1066" s="27">
        <v>46081</v>
      </c>
      <c r="B1066" s="29">
        <f>MONTH(W_カレンダー[[#This Row],[日付]])</f>
        <v>2</v>
      </c>
      <c r="C1066" s="1">
        <f>YEAR(W_カレンダー[[#This Row],[日付]])</f>
        <v>2026</v>
      </c>
      <c r="D1066" s="1">
        <f>IF(W_カレンダー[[#This Row],[月]]&lt;=3,W_カレンダー[[#This Row],[暦年]]-1,W_カレンダー[[#This Row],[暦年]])</f>
        <v>2025</v>
      </c>
      <c r="E1066" s="1" t="str">
        <f>IF(W_カレンダー[[#This Row],[月]]&lt;=3,"Q4",IF(W_カレンダー[[#This Row],[月]]&lt;=6,"Q1",IF(W_カレンダー[[#This Row],[月]]&lt;=9,"Q2","Q3")))</f>
        <v>Q4</v>
      </c>
    </row>
    <row r="1067" spans="1:5" ht="18" customHeight="1" x14ac:dyDescent="0.25">
      <c r="A1067" s="27">
        <v>46082</v>
      </c>
      <c r="B1067" s="29">
        <f>MONTH(W_カレンダー[[#This Row],[日付]])</f>
        <v>3</v>
      </c>
      <c r="C1067" s="1">
        <f>YEAR(W_カレンダー[[#This Row],[日付]])</f>
        <v>2026</v>
      </c>
      <c r="D1067" s="1">
        <f>IF(W_カレンダー[[#This Row],[月]]&lt;=3,W_カレンダー[[#This Row],[暦年]]-1,W_カレンダー[[#This Row],[暦年]])</f>
        <v>2025</v>
      </c>
      <c r="E1067" s="1" t="str">
        <f>IF(W_カレンダー[[#This Row],[月]]&lt;=3,"Q4",IF(W_カレンダー[[#This Row],[月]]&lt;=6,"Q1",IF(W_カレンダー[[#This Row],[月]]&lt;=9,"Q2","Q3")))</f>
        <v>Q4</v>
      </c>
    </row>
    <row r="1068" spans="1:5" ht="18" customHeight="1" x14ac:dyDescent="0.25">
      <c r="A1068" s="27">
        <v>46083</v>
      </c>
      <c r="B1068" s="29">
        <f>MONTH(W_カレンダー[[#This Row],[日付]])</f>
        <v>3</v>
      </c>
      <c r="C1068" s="1">
        <f>YEAR(W_カレンダー[[#This Row],[日付]])</f>
        <v>2026</v>
      </c>
      <c r="D1068" s="1">
        <f>IF(W_カレンダー[[#This Row],[月]]&lt;=3,W_カレンダー[[#This Row],[暦年]]-1,W_カレンダー[[#This Row],[暦年]])</f>
        <v>2025</v>
      </c>
      <c r="E1068" s="1" t="str">
        <f>IF(W_カレンダー[[#This Row],[月]]&lt;=3,"Q4",IF(W_カレンダー[[#This Row],[月]]&lt;=6,"Q1",IF(W_カレンダー[[#This Row],[月]]&lt;=9,"Q2","Q3")))</f>
        <v>Q4</v>
      </c>
    </row>
    <row r="1069" spans="1:5" ht="18" customHeight="1" x14ac:dyDescent="0.25">
      <c r="A1069" s="27">
        <v>46084</v>
      </c>
      <c r="B1069" s="29">
        <f>MONTH(W_カレンダー[[#This Row],[日付]])</f>
        <v>3</v>
      </c>
      <c r="C1069" s="1">
        <f>YEAR(W_カレンダー[[#This Row],[日付]])</f>
        <v>2026</v>
      </c>
      <c r="D1069" s="1">
        <f>IF(W_カレンダー[[#This Row],[月]]&lt;=3,W_カレンダー[[#This Row],[暦年]]-1,W_カレンダー[[#This Row],[暦年]])</f>
        <v>2025</v>
      </c>
      <c r="E1069" s="1" t="str">
        <f>IF(W_カレンダー[[#This Row],[月]]&lt;=3,"Q4",IF(W_カレンダー[[#This Row],[月]]&lt;=6,"Q1",IF(W_カレンダー[[#This Row],[月]]&lt;=9,"Q2","Q3")))</f>
        <v>Q4</v>
      </c>
    </row>
    <row r="1070" spans="1:5" ht="18" customHeight="1" x14ac:dyDescent="0.25">
      <c r="A1070" s="27">
        <v>46085</v>
      </c>
      <c r="B1070" s="29">
        <f>MONTH(W_カレンダー[[#This Row],[日付]])</f>
        <v>3</v>
      </c>
      <c r="C1070" s="1">
        <f>YEAR(W_カレンダー[[#This Row],[日付]])</f>
        <v>2026</v>
      </c>
      <c r="D1070" s="1">
        <f>IF(W_カレンダー[[#This Row],[月]]&lt;=3,W_カレンダー[[#This Row],[暦年]]-1,W_カレンダー[[#This Row],[暦年]])</f>
        <v>2025</v>
      </c>
      <c r="E1070" s="1" t="str">
        <f>IF(W_カレンダー[[#This Row],[月]]&lt;=3,"Q4",IF(W_カレンダー[[#This Row],[月]]&lt;=6,"Q1",IF(W_カレンダー[[#This Row],[月]]&lt;=9,"Q2","Q3")))</f>
        <v>Q4</v>
      </c>
    </row>
    <row r="1071" spans="1:5" ht="18" customHeight="1" x14ac:dyDescent="0.25">
      <c r="A1071" s="27">
        <v>46086</v>
      </c>
      <c r="B1071" s="29">
        <f>MONTH(W_カレンダー[[#This Row],[日付]])</f>
        <v>3</v>
      </c>
      <c r="C1071" s="1">
        <f>YEAR(W_カレンダー[[#This Row],[日付]])</f>
        <v>2026</v>
      </c>
      <c r="D1071" s="1">
        <f>IF(W_カレンダー[[#This Row],[月]]&lt;=3,W_カレンダー[[#This Row],[暦年]]-1,W_カレンダー[[#This Row],[暦年]])</f>
        <v>2025</v>
      </c>
      <c r="E1071" s="1" t="str">
        <f>IF(W_カレンダー[[#This Row],[月]]&lt;=3,"Q4",IF(W_カレンダー[[#This Row],[月]]&lt;=6,"Q1",IF(W_カレンダー[[#This Row],[月]]&lt;=9,"Q2","Q3")))</f>
        <v>Q4</v>
      </c>
    </row>
    <row r="1072" spans="1:5" ht="18" customHeight="1" x14ac:dyDescent="0.25">
      <c r="A1072" s="27">
        <v>46087</v>
      </c>
      <c r="B1072" s="29">
        <f>MONTH(W_カレンダー[[#This Row],[日付]])</f>
        <v>3</v>
      </c>
      <c r="C1072" s="1">
        <f>YEAR(W_カレンダー[[#This Row],[日付]])</f>
        <v>2026</v>
      </c>
      <c r="D1072" s="1">
        <f>IF(W_カレンダー[[#This Row],[月]]&lt;=3,W_カレンダー[[#This Row],[暦年]]-1,W_カレンダー[[#This Row],[暦年]])</f>
        <v>2025</v>
      </c>
      <c r="E1072" s="1" t="str">
        <f>IF(W_カレンダー[[#This Row],[月]]&lt;=3,"Q4",IF(W_カレンダー[[#This Row],[月]]&lt;=6,"Q1",IF(W_カレンダー[[#This Row],[月]]&lt;=9,"Q2","Q3")))</f>
        <v>Q4</v>
      </c>
    </row>
    <row r="1073" spans="1:5" ht="18" customHeight="1" x14ac:dyDescent="0.25">
      <c r="A1073" s="27">
        <v>46088</v>
      </c>
      <c r="B1073" s="29">
        <f>MONTH(W_カレンダー[[#This Row],[日付]])</f>
        <v>3</v>
      </c>
      <c r="C1073" s="1">
        <f>YEAR(W_カレンダー[[#This Row],[日付]])</f>
        <v>2026</v>
      </c>
      <c r="D1073" s="1">
        <f>IF(W_カレンダー[[#This Row],[月]]&lt;=3,W_カレンダー[[#This Row],[暦年]]-1,W_カレンダー[[#This Row],[暦年]])</f>
        <v>2025</v>
      </c>
      <c r="E1073" s="1" t="str">
        <f>IF(W_カレンダー[[#This Row],[月]]&lt;=3,"Q4",IF(W_カレンダー[[#This Row],[月]]&lt;=6,"Q1",IF(W_カレンダー[[#This Row],[月]]&lt;=9,"Q2","Q3")))</f>
        <v>Q4</v>
      </c>
    </row>
    <row r="1074" spans="1:5" ht="18" customHeight="1" x14ac:dyDescent="0.25">
      <c r="A1074" s="27">
        <v>46089</v>
      </c>
      <c r="B1074" s="29">
        <f>MONTH(W_カレンダー[[#This Row],[日付]])</f>
        <v>3</v>
      </c>
      <c r="C1074" s="1">
        <f>YEAR(W_カレンダー[[#This Row],[日付]])</f>
        <v>2026</v>
      </c>
      <c r="D1074" s="1">
        <f>IF(W_カレンダー[[#This Row],[月]]&lt;=3,W_カレンダー[[#This Row],[暦年]]-1,W_カレンダー[[#This Row],[暦年]])</f>
        <v>2025</v>
      </c>
      <c r="E1074" s="1" t="str">
        <f>IF(W_カレンダー[[#This Row],[月]]&lt;=3,"Q4",IF(W_カレンダー[[#This Row],[月]]&lt;=6,"Q1",IF(W_カレンダー[[#This Row],[月]]&lt;=9,"Q2","Q3")))</f>
        <v>Q4</v>
      </c>
    </row>
    <row r="1075" spans="1:5" ht="18" customHeight="1" x14ac:dyDescent="0.25">
      <c r="A1075" s="27">
        <v>46090</v>
      </c>
      <c r="B1075" s="29">
        <f>MONTH(W_カレンダー[[#This Row],[日付]])</f>
        <v>3</v>
      </c>
      <c r="C1075" s="1">
        <f>YEAR(W_カレンダー[[#This Row],[日付]])</f>
        <v>2026</v>
      </c>
      <c r="D1075" s="1">
        <f>IF(W_カレンダー[[#This Row],[月]]&lt;=3,W_カレンダー[[#This Row],[暦年]]-1,W_カレンダー[[#This Row],[暦年]])</f>
        <v>2025</v>
      </c>
      <c r="E1075" s="1" t="str">
        <f>IF(W_カレンダー[[#This Row],[月]]&lt;=3,"Q4",IF(W_カレンダー[[#This Row],[月]]&lt;=6,"Q1",IF(W_カレンダー[[#This Row],[月]]&lt;=9,"Q2","Q3")))</f>
        <v>Q4</v>
      </c>
    </row>
    <row r="1076" spans="1:5" ht="18" customHeight="1" x14ac:dyDescent="0.25">
      <c r="A1076" s="27">
        <v>46091</v>
      </c>
      <c r="B1076" s="29">
        <f>MONTH(W_カレンダー[[#This Row],[日付]])</f>
        <v>3</v>
      </c>
      <c r="C1076" s="1">
        <f>YEAR(W_カレンダー[[#This Row],[日付]])</f>
        <v>2026</v>
      </c>
      <c r="D1076" s="1">
        <f>IF(W_カレンダー[[#This Row],[月]]&lt;=3,W_カレンダー[[#This Row],[暦年]]-1,W_カレンダー[[#This Row],[暦年]])</f>
        <v>2025</v>
      </c>
      <c r="E1076" s="1" t="str">
        <f>IF(W_カレンダー[[#This Row],[月]]&lt;=3,"Q4",IF(W_カレンダー[[#This Row],[月]]&lt;=6,"Q1",IF(W_カレンダー[[#This Row],[月]]&lt;=9,"Q2","Q3")))</f>
        <v>Q4</v>
      </c>
    </row>
    <row r="1077" spans="1:5" ht="18" customHeight="1" x14ac:dyDescent="0.25">
      <c r="A1077" s="27">
        <v>46092</v>
      </c>
      <c r="B1077" s="29">
        <f>MONTH(W_カレンダー[[#This Row],[日付]])</f>
        <v>3</v>
      </c>
      <c r="C1077" s="1">
        <f>YEAR(W_カレンダー[[#This Row],[日付]])</f>
        <v>2026</v>
      </c>
      <c r="D1077" s="1">
        <f>IF(W_カレンダー[[#This Row],[月]]&lt;=3,W_カレンダー[[#This Row],[暦年]]-1,W_カレンダー[[#This Row],[暦年]])</f>
        <v>2025</v>
      </c>
      <c r="E1077" s="1" t="str">
        <f>IF(W_カレンダー[[#This Row],[月]]&lt;=3,"Q4",IF(W_カレンダー[[#This Row],[月]]&lt;=6,"Q1",IF(W_カレンダー[[#This Row],[月]]&lt;=9,"Q2","Q3")))</f>
        <v>Q4</v>
      </c>
    </row>
    <row r="1078" spans="1:5" ht="18" customHeight="1" x14ac:dyDescent="0.25">
      <c r="A1078" s="27">
        <v>46093</v>
      </c>
      <c r="B1078" s="29">
        <f>MONTH(W_カレンダー[[#This Row],[日付]])</f>
        <v>3</v>
      </c>
      <c r="C1078" s="1">
        <f>YEAR(W_カレンダー[[#This Row],[日付]])</f>
        <v>2026</v>
      </c>
      <c r="D1078" s="1">
        <f>IF(W_カレンダー[[#This Row],[月]]&lt;=3,W_カレンダー[[#This Row],[暦年]]-1,W_カレンダー[[#This Row],[暦年]])</f>
        <v>2025</v>
      </c>
      <c r="E1078" s="1" t="str">
        <f>IF(W_カレンダー[[#This Row],[月]]&lt;=3,"Q4",IF(W_カレンダー[[#This Row],[月]]&lt;=6,"Q1",IF(W_カレンダー[[#This Row],[月]]&lt;=9,"Q2","Q3")))</f>
        <v>Q4</v>
      </c>
    </row>
    <row r="1079" spans="1:5" ht="18" customHeight="1" x14ac:dyDescent="0.25">
      <c r="A1079" s="27">
        <v>46094</v>
      </c>
      <c r="B1079" s="29">
        <f>MONTH(W_カレンダー[[#This Row],[日付]])</f>
        <v>3</v>
      </c>
      <c r="C1079" s="1">
        <f>YEAR(W_カレンダー[[#This Row],[日付]])</f>
        <v>2026</v>
      </c>
      <c r="D1079" s="1">
        <f>IF(W_カレンダー[[#This Row],[月]]&lt;=3,W_カレンダー[[#This Row],[暦年]]-1,W_カレンダー[[#This Row],[暦年]])</f>
        <v>2025</v>
      </c>
      <c r="E1079" s="1" t="str">
        <f>IF(W_カレンダー[[#This Row],[月]]&lt;=3,"Q4",IF(W_カレンダー[[#This Row],[月]]&lt;=6,"Q1",IF(W_カレンダー[[#This Row],[月]]&lt;=9,"Q2","Q3")))</f>
        <v>Q4</v>
      </c>
    </row>
    <row r="1080" spans="1:5" ht="18" customHeight="1" x14ac:dyDescent="0.25">
      <c r="A1080" s="27">
        <v>46095</v>
      </c>
      <c r="B1080" s="29">
        <f>MONTH(W_カレンダー[[#This Row],[日付]])</f>
        <v>3</v>
      </c>
      <c r="C1080" s="1">
        <f>YEAR(W_カレンダー[[#This Row],[日付]])</f>
        <v>2026</v>
      </c>
      <c r="D1080" s="1">
        <f>IF(W_カレンダー[[#This Row],[月]]&lt;=3,W_カレンダー[[#This Row],[暦年]]-1,W_カレンダー[[#This Row],[暦年]])</f>
        <v>2025</v>
      </c>
      <c r="E1080" s="1" t="str">
        <f>IF(W_カレンダー[[#This Row],[月]]&lt;=3,"Q4",IF(W_カレンダー[[#This Row],[月]]&lt;=6,"Q1",IF(W_カレンダー[[#This Row],[月]]&lt;=9,"Q2","Q3")))</f>
        <v>Q4</v>
      </c>
    </row>
    <row r="1081" spans="1:5" ht="18" customHeight="1" x14ac:dyDescent="0.25">
      <c r="A1081" s="27">
        <v>46096</v>
      </c>
      <c r="B1081" s="29">
        <f>MONTH(W_カレンダー[[#This Row],[日付]])</f>
        <v>3</v>
      </c>
      <c r="C1081" s="1">
        <f>YEAR(W_カレンダー[[#This Row],[日付]])</f>
        <v>2026</v>
      </c>
      <c r="D1081" s="1">
        <f>IF(W_カレンダー[[#This Row],[月]]&lt;=3,W_カレンダー[[#This Row],[暦年]]-1,W_カレンダー[[#This Row],[暦年]])</f>
        <v>2025</v>
      </c>
      <c r="E1081" s="1" t="str">
        <f>IF(W_カレンダー[[#This Row],[月]]&lt;=3,"Q4",IF(W_カレンダー[[#This Row],[月]]&lt;=6,"Q1",IF(W_カレンダー[[#This Row],[月]]&lt;=9,"Q2","Q3")))</f>
        <v>Q4</v>
      </c>
    </row>
    <row r="1082" spans="1:5" ht="18" customHeight="1" x14ac:dyDescent="0.25">
      <c r="A1082" s="27">
        <v>46097</v>
      </c>
      <c r="B1082" s="29">
        <f>MONTH(W_カレンダー[[#This Row],[日付]])</f>
        <v>3</v>
      </c>
      <c r="C1082" s="1">
        <f>YEAR(W_カレンダー[[#This Row],[日付]])</f>
        <v>2026</v>
      </c>
      <c r="D1082" s="1">
        <f>IF(W_カレンダー[[#This Row],[月]]&lt;=3,W_カレンダー[[#This Row],[暦年]]-1,W_カレンダー[[#This Row],[暦年]])</f>
        <v>2025</v>
      </c>
      <c r="E1082" s="1" t="str">
        <f>IF(W_カレンダー[[#This Row],[月]]&lt;=3,"Q4",IF(W_カレンダー[[#This Row],[月]]&lt;=6,"Q1",IF(W_カレンダー[[#This Row],[月]]&lt;=9,"Q2","Q3")))</f>
        <v>Q4</v>
      </c>
    </row>
    <row r="1083" spans="1:5" ht="18" customHeight="1" x14ac:dyDescent="0.25">
      <c r="A1083" s="27">
        <v>46098</v>
      </c>
      <c r="B1083" s="29">
        <f>MONTH(W_カレンダー[[#This Row],[日付]])</f>
        <v>3</v>
      </c>
      <c r="C1083" s="1">
        <f>YEAR(W_カレンダー[[#This Row],[日付]])</f>
        <v>2026</v>
      </c>
      <c r="D1083" s="1">
        <f>IF(W_カレンダー[[#This Row],[月]]&lt;=3,W_カレンダー[[#This Row],[暦年]]-1,W_カレンダー[[#This Row],[暦年]])</f>
        <v>2025</v>
      </c>
      <c r="E1083" s="1" t="str">
        <f>IF(W_カレンダー[[#This Row],[月]]&lt;=3,"Q4",IF(W_カレンダー[[#This Row],[月]]&lt;=6,"Q1",IF(W_カレンダー[[#This Row],[月]]&lt;=9,"Q2","Q3")))</f>
        <v>Q4</v>
      </c>
    </row>
    <row r="1084" spans="1:5" ht="18" customHeight="1" x14ac:dyDescent="0.25">
      <c r="A1084" s="27">
        <v>46099</v>
      </c>
      <c r="B1084" s="29">
        <f>MONTH(W_カレンダー[[#This Row],[日付]])</f>
        <v>3</v>
      </c>
      <c r="C1084" s="1">
        <f>YEAR(W_カレンダー[[#This Row],[日付]])</f>
        <v>2026</v>
      </c>
      <c r="D1084" s="1">
        <f>IF(W_カレンダー[[#This Row],[月]]&lt;=3,W_カレンダー[[#This Row],[暦年]]-1,W_カレンダー[[#This Row],[暦年]])</f>
        <v>2025</v>
      </c>
      <c r="E1084" s="1" t="str">
        <f>IF(W_カレンダー[[#This Row],[月]]&lt;=3,"Q4",IF(W_カレンダー[[#This Row],[月]]&lt;=6,"Q1",IF(W_カレンダー[[#This Row],[月]]&lt;=9,"Q2","Q3")))</f>
        <v>Q4</v>
      </c>
    </row>
    <row r="1085" spans="1:5" ht="18" customHeight="1" x14ac:dyDescent="0.25">
      <c r="A1085" s="27">
        <v>46100</v>
      </c>
      <c r="B1085" s="29">
        <f>MONTH(W_カレンダー[[#This Row],[日付]])</f>
        <v>3</v>
      </c>
      <c r="C1085" s="1">
        <f>YEAR(W_カレンダー[[#This Row],[日付]])</f>
        <v>2026</v>
      </c>
      <c r="D1085" s="1">
        <f>IF(W_カレンダー[[#This Row],[月]]&lt;=3,W_カレンダー[[#This Row],[暦年]]-1,W_カレンダー[[#This Row],[暦年]])</f>
        <v>2025</v>
      </c>
      <c r="E1085" s="1" t="str">
        <f>IF(W_カレンダー[[#This Row],[月]]&lt;=3,"Q4",IF(W_カレンダー[[#This Row],[月]]&lt;=6,"Q1",IF(W_カレンダー[[#This Row],[月]]&lt;=9,"Q2","Q3")))</f>
        <v>Q4</v>
      </c>
    </row>
    <row r="1086" spans="1:5" ht="18" customHeight="1" x14ac:dyDescent="0.25">
      <c r="A1086" s="27">
        <v>46101</v>
      </c>
      <c r="B1086" s="29">
        <f>MONTH(W_カレンダー[[#This Row],[日付]])</f>
        <v>3</v>
      </c>
      <c r="C1086" s="1">
        <f>YEAR(W_カレンダー[[#This Row],[日付]])</f>
        <v>2026</v>
      </c>
      <c r="D1086" s="1">
        <f>IF(W_カレンダー[[#This Row],[月]]&lt;=3,W_カレンダー[[#This Row],[暦年]]-1,W_カレンダー[[#This Row],[暦年]])</f>
        <v>2025</v>
      </c>
      <c r="E1086" s="1" t="str">
        <f>IF(W_カレンダー[[#This Row],[月]]&lt;=3,"Q4",IF(W_カレンダー[[#This Row],[月]]&lt;=6,"Q1",IF(W_カレンダー[[#This Row],[月]]&lt;=9,"Q2","Q3")))</f>
        <v>Q4</v>
      </c>
    </row>
    <row r="1087" spans="1:5" ht="18" customHeight="1" x14ac:dyDescent="0.25">
      <c r="A1087" s="27">
        <v>46102</v>
      </c>
      <c r="B1087" s="29">
        <f>MONTH(W_カレンダー[[#This Row],[日付]])</f>
        <v>3</v>
      </c>
      <c r="C1087" s="1">
        <f>YEAR(W_カレンダー[[#This Row],[日付]])</f>
        <v>2026</v>
      </c>
      <c r="D1087" s="1">
        <f>IF(W_カレンダー[[#This Row],[月]]&lt;=3,W_カレンダー[[#This Row],[暦年]]-1,W_カレンダー[[#This Row],[暦年]])</f>
        <v>2025</v>
      </c>
      <c r="E1087" s="1" t="str">
        <f>IF(W_カレンダー[[#This Row],[月]]&lt;=3,"Q4",IF(W_カレンダー[[#This Row],[月]]&lt;=6,"Q1",IF(W_カレンダー[[#This Row],[月]]&lt;=9,"Q2","Q3")))</f>
        <v>Q4</v>
      </c>
    </row>
    <row r="1088" spans="1:5" ht="18" customHeight="1" x14ac:dyDescent="0.25">
      <c r="A1088" s="27">
        <v>46103</v>
      </c>
      <c r="B1088" s="29">
        <f>MONTH(W_カレンダー[[#This Row],[日付]])</f>
        <v>3</v>
      </c>
      <c r="C1088" s="1">
        <f>YEAR(W_カレンダー[[#This Row],[日付]])</f>
        <v>2026</v>
      </c>
      <c r="D1088" s="1">
        <f>IF(W_カレンダー[[#This Row],[月]]&lt;=3,W_カレンダー[[#This Row],[暦年]]-1,W_カレンダー[[#This Row],[暦年]])</f>
        <v>2025</v>
      </c>
      <c r="E1088" s="1" t="str">
        <f>IF(W_カレンダー[[#This Row],[月]]&lt;=3,"Q4",IF(W_カレンダー[[#This Row],[月]]&lt;=6,"Q1",IF(W_カレンダー[[#This Row],[月]]&lt;=9,"Q2","Q3")))</f>
        <v>Q4</v>
      </c>
    </row>
    <row r="1089" spans="1:5" ht="18" customHeight="1" x14ac:dyDescent="0.25">
      <c r="A1089" s="27">
        <v>46104</v>
      </c>
      <c r="B1089" s="29">
        <f>MONTH(W_カレンダー[[#This Row],[日付]])</f>
        <v>3</v>
      </c>
      <c r="C1089" s="1">
        <f>YEAR(W_カレンダー[[#This Row],[日付]])</f>
        <v>2026</v>
      </c>
      <c r="D1089" s="1">
        <f>IF(W_カレンダー[[#This Row],[月]]&lt;=3,W_カレンダー[[#This Row],[暦年]]-1,W_カレンダー[[#This Row],[暦年]])</f>
        <v>2025</v>
      </c>
      <c r="E1089" s="1" t="str">
        <f>IF(W_カレンダー[[#This Row],[月]]&lt;=3,"Q4",IF(W_カレンダー[[#This Row],[月]]&lt;=6,"Q1",IF(W_カレンダー[[#This Row],[月]]&lt;=9,"Q2","Q3")))</f>
        <v>Q4</v>
      </c>
    </row>
    <row r="1090" spans="1:5" ht="18" customHeight="1" x14ac:dyDescent="0.25">
      <c r="A1090" s="27">
        <v>46105</v>
      </c>
      <c r="B1090" s="29">
        <f>MONTH(W_カレンダー[[#This Row],[日付]])</f>
        <v>3</v>
      </c>
      <c r="C1090" s="1">
        <f>YEAR(W_カレンダー[[#This Row],[日付]])</f>
        <v>2026</v>
      </c>
      <c r="D1090" s="1">
        <f>IF(W_カレンダー[[#This Row],[月]]&lt;=3,W_カレンダー[[#This Row],[暦年]]-1,W_カレンダー[[#This Row],[暦年]])</f>
        <v>2025</v>
      </c>
      <c r="E1090" s="1" t="str">
        <f>IF(W_カレンダー[[#This Row],[月]]&lt;=3,"Q4",IF(W_カレンダー[[#This Row],[月]]&lt;=6,"Q1",IF(W_カレンダー[[#This Row],[月]]&lt;=9,"Q2","Q3")))</f>
        <v>Q4</v>
      </c>
    </row>
    <row r="1091" spans="1:5" ht="18" customHeight="1" x14ac:dyDescent="0.25">
      <c r="A1091" s="27">
        <v>46106</v>
      </c>
      <c r="B1091" s="29">
        <f>MONTH(W_カレンダー[[#This Row],[日付]])</f>
        <v>3</v>
      </c>
      <c r="C1091" s="1">
        <f>YEAR(W_カレンダー[[#This Row],[日付]])</f>
        <v>2026</v>
      </c>
      <c r="D1091" s="1">
        <f>IF(W_カレンダー[[#This Row],[月]]&lt;=3,W_カレンダー[[#This Row],[暦年]]-1,W_カレンダー[[#This Row],[暦年]])</f>
        <v>2025</v>
      </c>
      <c r="E1091" s="1" t="str">
        <f>IF(W_カレンダー[[#This Row],[月]]&lt;=3,"Q4",IF(W_カレンダー[[#This Row],[月]]&lt;=6,"Q1",IF(W_カレンダー[[#This Row],[月]]&lt;=9,"Q2","Q3")))</f>
        <v>Q4</v>
      </c>
    </row>
    <row r="1092" spans="1:5" ht="18" customHeight="1" x14ac:dyDescent="0.25">
      <c r="A1092" s="27">
        <v>46107</v>
      </c>
      <c r="B1092" s="29">
        <f>MONTH(W_カレンダー[[#This Row],[日付]])</f>
        <v>3</v>
      </c>
      <c r="C1092" s="1">
        <f>YEAR(W_カレンダー[[#This Row],[日付]])</f>
        <v>2026</v>
      </c>
      <c r="D1092" s="1">
        <f>IF(W_カレンダー[[#This Row],[月]]&lt;=3,W_カレンダー[[#This Row],[暦年]]-1,W_カレンダー[[#This Row],[暦年]])</f>
        <v>2025</v>
      </c>
      <c r="E1092" s="1" t="str">
        <f>IF(W_カレンダー[[#This Row],[月]]&lt;=3,"Q4",IF(W_カレンダー[[#This Row],[月]]&lt;=6,"Q1",IF(W_カレンダー[[#This Row],[月]]&lt;=9,"Q2","Q3")))</f>
        <v>Q4</v>
      </c>
    </row>
    <row r="1093" spans="1:5" ht="18" customHeight="1" x14ac:dyDescent="0.25">
      <c r="A1093" s="27">
        <v>46108</v>
      </c>
      <c r="B1093" s="29">
        <f>MONTH(W_カレンダー[[#This Row],[日付]])</f>
        <v>3</v>
      </c>
      <c r="C1093" s="1">
        <f>YEAR(W_カレンダー[[#This Row],[日付]])</f>
        <v>2026</v>
      </c>
      <c r="D1093" s="1">
        <f>IF(W_カレンダー[[#This Row],[月]]&lt;=3,W_カレンダー[[#This Row],[暦年]]-1,W_カレンダー[[#This Row],[暦年]])</f>
        <v>2025</v>
      </c>
      <c r="E1093" s="1" t="str">
        <f>IF(W_カレンダー[[#This Row],[月]]&lt;=3,"Q4",IF(W_カレンダー[[#This Row],[月]]&lt;=6,"Q1",IF(W_カレンダー[[#This Row],[月]]&lt;=9,"Q2","Q3")))</f>
        <v>Q4</v>
      </c>
    </row>
    <row r="1094" spans="1:5" ht="18" customHeight="1" x14ac:dyDescent="0.25">
      <c r="A1094" s="27">
        <v>46109</v>
      </c>
      <c r="B1094" s="29">
        <f>MONTH(W_カレンダー[[#This Row],[日付]])</f>
        <v>3</v>
      </c>
      <c r="C1094" s="1">
        <f>YEAR(W_カレンダー[[#This Row],[日付]])</f>
        <v>2026</v>
      </c>
      <c r="D1094" s="1">
        <f>IF(W_カレンダー[[#This Row],[月]]&lt;=3,W_カレンダー[[#This Row],[暦年]]-1,W_カレンダー[[#This Row],[暦年]])</f>
        <v>2025</v>
      </c>
      <c r="E1094" s="1" t="str">
        <f>IF(W_カレンダー[[#This Row],[月]]&lt;=3,"Q4",IF(W_カレンダー[[#This Row],[月]]&lt;=6,"Q1",IF(W_カレンダー[[#This Row],[月]]&lt;=9,"Q2","Q3")))</f>
        <v>Q4</v>
      </c>
    </row>
    <row r="1095" spans="1:5" ht="18" customHeight="1" x14ac:dyDescent="0.25">
      <c r="A1095" s="27">
        <v>46110</v>
      </c>
      <c r="B1095" s="29">
        <f>MONTH(W_カレンダー[[#This Row],[日付]])</f>
        <v>3</v>
      </c>
      <c r="C1095" s="1">
        <f>YEAR(W_カレンダー[[#This Row],[日付]])</f>
        <v>2026</v>
      </c>
      <c r="D1095" s="1">
        <f>IF(W_カレンダー[[#This Row],[月]]&lt;=3,W_カレンダー[[#This Row],[暦年]]-1,W_カレンダー[[#This Row],[暦年]])</f>
        <v>2025</v>
      </c>
      <c r="E1095" s="1" t="str">
        <f>IF(W_カレンダー[[#This Row],[月]]&lt;=3,"Q4",IF(W_カレンダー[[#This Row],[月]]&lt;=6,"Q1",IF(W_カレンダー[[#This Row],[月]]&lt;=9,"Q2","Q3")))</f>
        <v>Q4</v>
      </c>
    </row>
    <row r="1096" spans="1:5" ht="18" customHeight="1" x14ac:dyDescent="0.25">
      <c r="A1096" s="27">
        <v>46111</v>
      </c>
      <c r="B1096" s="29">
        <f>MONTH(W_カレンダー[[#This Row],[日付]])</f>
        <v>3</v>
      </c>
      <c r="C1096" s="1">
        <f>YEAR(W_カレンダー[[#This Row],[日付]])</f>
        <v>2026</v>
      </c>
      <c r="D1096" s="1">
        <f>IF(W_カレンダー[[#This Row],[月]]&lt;=3,W_カレンダー[[#This Row],[暦年]]-1,W_カレンダー[[#This Row],[暦年]])</f>
        <v>2025</v>
      </c>
      <c r="E1096" s="1" t="str">
        <f>IF(W_カレンダー[[#This Row],[月]]&lt;=3,"Q4",IF(W_カレンダー[[#This Row],[月]]&lt;=6,"Q1",IF(W_カレンダー[[#This Row],[月]]&lt;=9,"Q2","Q3")))</f>
        <v>Q4</v>
      </c>
    </row>
    <row r="1097" spans="1:5" ht="18" customHeight="1" x14ac:dyDescent="0.25">
      <c r="A1097" s="27">
        <v>46112</v>
      </c>
      <c r="B1097" s="29">
        <f>MONTH(W_カレンダー[[#This Row],[日付]])</f>
        <v>3</v>
      </c>
      <c r="C1097" s="1">
        <f>YEAR(W_カレンダー[[#This Row],[日付]])</f>
        <v>2026</v>
      </c>
      <c r="D1097" s="1">
        <f>IF(W_カレンダー[[#This Row],[月]]&lt;=3,W_カレンダー[[#This Row],[暦年]]-1,W_カレンダー[[#This Row],[暦年]])</f>
        <v>2025</v>
      </c>
      <c r="E1097" s="1" t="str">
        <f>IF(W_カレンダー[[#This Row],[月]]&lt;=3,"Q4",IF(W_カレンダー[[#This Row],[月]]&lt;=6,"Q1",IF(W_カレンダー[[#This Row],[月]]&lt;=9,"Q2","Q3")))</f>
        <v>Q4</v>
      </c>
    </row>
    <row r="1098" spans="1:5" ht="18" customHeight="1" x14ac:dyDescent="0.25">
      <c r="A1098" s="27">
        <v>46113</v>
      </c>
      <c r="B1098" s="29">
        <f>MONTH(W_カレンダー[[#This Row],[日付]])</f>
        <v>4</v>
      </c>
      <c r="C1098" s="1">
        <f>YEAR(W_カレンダー[[#This Row],[日付]])</f>
        <v>2026</v>
      </c>
      <c r="D1098" s="1">
        <f>IF(W_カレンダー[[#This Row],[月]]&lt;=3,W_カレンダー[[#This Row],[暦年]]-1,W_カレンダー[[#This Row],[暦年]])</f>
        <v>2026</v>
      </c>
      <c r="E1098" s="1" t="str">
        <f>IF(W_カレンダー[[#This Row],[月]]&lt;=3,"Q4",IF(W_カレンダー[[#This Row],[月]]&lt;=6,"Q1",IF(W_カレンダー[[#This Row],[月]]&lt;=9,"Q2","Q3")))</f>
        <v>Q1</v>
      </c>
    </row>
    <row r="1099" spans="1:5" ht="18" customHeight="1" x14ac:dyDescent="0.25">
      <c r="A1099" s="27">
        <v>46114</v>
      </c>
      <c r="B1099" s="29">
        <f>MONTH(W_カレンダー[[#This Row],[日付]])</f>
        <v>4</v>
      </c>
      <c r="C1099" s="1">
        <f>YEAR(W_カレンダー[[#This Row],[日付]])</f>
        <v>2026</v>
      </c>
      <c r="D1099" s="1">
        <f>IF(W_カレンダー[[#This Row],[月]]&lt;=3,W_カレンダー[[#This Row],[暦年]]-1,W_カレンダー[[#This Row],[暦年]])</f>
        <v>2026</v>
      </c>
      <c r="E1099" s="1" t="str">
        <f>IF(W_カレンダー[[#This Row],[月]]&lt;=3,"Q4",IF(W_カレンダー[[#This Row],[月]]&lt;=6,"Q1",IF(W_カレンダー[[#This Row],[月]]&lt;=9,"Q2","Q3")))</f>
        <v>Q1</v>
      </c>
    </row>
    <row r="1100" spans="1:5" ht="18" customHeight="1" x14ac:dyDescent="0.25">
      <c r="A1100" s="27">
        <v>46115</v>
      </c>
      <c r="B1100" s="29">
        <f>MONTH(W_カレンダー[[#This Row],[日付]])</f>
        <v>4</v>
      </c>
      <c r="C1100" s="1">
        <f>YEAR(W_カレンダー[[#This Row],[日付]])</f>
        <v>2026</v>
      </c>
      <c r="D1100" s="1">
        <f>IF(W_カレンダー[[#This Row],[月]]&lt;=3,W_カレンダー[[#This Row],[暦年]]-1,W_カレンダー[[#This Row],[暦年]])</f>
        <v>2026</v>
      </c>
      <c r="E1100" s="1" t="str">
        <f>IF(W_カレンダー[[#This Row],[月]]&lt;=3,"Q4",IF(W_カレンダー[[#This Row],[月]]&lt;=6,"Q1",IF(W_カレンダー[[#This Row],[月]]&lt;=9,"Q2","Q3")))</f>
        <v>Q1</v>
      </c>
    </row>
    <row r="1101" spans="1:5" ht="18" customHeight="1" x14ac:dyDescent="0.25">
      <c r="A1101" s="27">
        <v>46116</v>
      </c>
      <c r="B1101" s="29">
        <f>MONTH(W_カレンダー[[#This Row],[日付]])</f>
        <v>4</v>
      </c>
      <c r="C1101" s="1">
        <f>YEAR(W_カレンダー[[#This Row],[日付]])</f>
        <v>2026</v>
      </c>
      <c r="D1101" s="1">
        <f>IF(W_カレンダー[[#This Row],[月]]&lt;=3,W_カレンダー[[#This Row],[暦年]]-1,W_カレンダー[[#This Row],[暦年]])</f>
        <v>2026</v>
      </c>
      <c r="E1101" s="1" t="str">
        <f>IF(W_カレンダー[[#This Row],[月]]&lt;=3,"Q4",IF(W_カレンダー[[#This Row],[月]]&lt;=6,"Q1",IF(W_カレンダー[[#This Row],[月]]&lt;=9,"Q2","Q3")))</f>
        <v>Q1</v>
      </c>
    </row>
    <row r="1102" spans="1:5" ht="18" customHeight="1" x14ac:dyDescent="0.25">
      <c r="A1102" s="27">
        <v>46117</v>
      </c>
      <c r="B1102" s="29">
        <f>MONTH(W_カレンダー[[#This Row],[日付]])</f>
        <v>4</v>
      </c>
      <c r="C1102" s="1">
        <f>YEAR(W_カレンダー[[#This Row],[日付]])</f>
        <v>2026</v>
      </c>
      <c r="D1102" s="1">
        <f>IF(W_カレンダー[[#This Row],[月]]&lt;=3,W_カレンダー[[#This Row],[暦年]]-1,W_カレンダー[[#This Row],[暦年]])</f>
        <v>2026</v>
      </c>
      <c r="E1102" s="1" t="str">
        <f>IF(W_カレンダー[[#This Row],[月]]&lt;=3,"Q4",IF(W_カレンダー[[#This Row],[月]]&lt;=6,"Q1",IF(W_カレンダー[[#This Row],[月]]&lt;=9,"Q2","Q3")))</f>
        <v>Q1</v>
      </c>
    </row>
    <row r="1103" spans="1:5" ht="18" customHeight="1" x14ac:dyDescent="0.25">
      <c r="A1103" s="27">
        <v>46118</v>
      </c>
      <c r="B1103" s="29">
        <f>MONTH(W_カレンダー[[#This Row],[日付]])</f>
        <v>4</v>
      </c>
      <c r="C1103" s="1">
        <f>YEAR(W_カレンダー[[#This Row],[日付]])</f>
        <v>2026</v>
      </c>
      <c r="D1103" s="1">
        <f>IF(W_カレンダー[[#This Row],[月]]&lt;=3,W_カレンダー[[#This Row],[暦年]]-1,W_カレンダー[[#This Row],[暦年]])</f>
        <v>2026</v>
      </c>
      <c r="E1103" s="1" t="str">
        <f>IF(W_カレンダー[[#This Row],[月]]&lt;=3,"Q4",IF(W_カレンダー[[#This Row],[月]]&lt;=6,"Q1",IF(W_カレンダー[[#This Row],[月]]&lt;=9,"Q2","Q3")))</f>
        <v>Q1</v>
      </c>
    </row>
    <row r="1104" spans="1:5" ht="18" customHeight="1" x14ac:dyDescent="0.25">
      <c r="A1104" s="27">
        <v>46119</v>
      </c>
      <c r="B1104" s="29">
        <f>MONTH(W_カレンダー[[#This Row],[日付]])</f>
        <v>4</v>
      </c>
      <c r="C1104" s="1">
        <f>YEAR(W_カレンダー[[#This Row],[日付]])</f>
        <v>2026</v>
      </c>
      <c r="D1104" s="1">
        <f>IF(W_カレンダー[[#This Row],[月]]&lt;=3,W_カレンダー[[#This Row],[暦年]]-1,W_カレンダー[[#This Row],[暦年]])</f>
        <v>2026</v>
      </c>
      <c r="E1104" s="1" t="str">
        <f>IF(W_カレンダー[[#This Row],[月]]&lt;=3,"Q4",IF(W_カレンダー[[#This Row],[月]]&lt;=6,"Q1",IF(W_カレンダー[[#This Row],[月]]&lt;=9,"Q2","Q3")))</f>
        <v>Q1</v>
      </c>
    </row>
    <row r="1105" spans="1:5" ht="18" customHeight="1" x14ac:dyDescent="0.25">
      <c r="A1105" s="27">
        <v>46120</v>
      </c>
      <c r="B1105" s="29">
        <f>MONTH(W_カレンダー[[#This Row],[日付]])</f>
        <v>4</v>
      </c>
      <c r="C1105" s="1">
        <f>YEAR(W_カレンダー[[#This Row],[日付]])</f>
        <v>2026</v>
      </c>
      <c r="D1105" s="1">
        <f>IF(W_カレンダー[[#This Row],[月]]&lt;=3,W_カレンダー[[#This Row],[暦年]]-1,W_カレンダー[[#This Row],[暦年]])</f>
        <v>2026</v>
      </c>
      <c r="E1105" s="1" t="str">
        <f>IF(W_カレンダー[[#This Row],[月]]&lt;=3,"Q4",IF(W_カレンダー[[#This Row],[月]]&lt;=6,"Q1",IF(W_カレンダー[[#This Row],[月]]&lt;=9,"Q2","Q3")))</f>
        <v>Q1</v>
      </c>
    </row>
    <row r="1106" spans="1:5" ht="18" customHeight="1" x14ac:dyDescent="0.25">
      <c r="A1106" s="27">
        <v>46121</v>
      </c>
      <c r="B1106" s="29">
        <f>MONTH(W_カレンダー[[#This Row],[日付]])</f>
        <v>4</v>
      </c>
      <c r="C1106" s="1">
        <f>YEAR(W_カレンダー[[#This Row],[日付]])</f>
        <v>2026</v>
      </c>
      <c r="D1106" s="1">
        <f>IF(W_カレンダー[[#This Row],[月]]&lt;=3,W_カレンダー[[#This Row],[暦年]]-1,W_カレンダー[[#This Row],[暦年]])</f>
        <v>2026</v>
      </c>
      <c r="E1106" s="1" t="str">
        <f>IF(W_カレンダー[[#This Row],[月]]&lt;=3,"Q4",IF(W_カレンダー[[#This Row],[月]]&lt;=6,"Q1",IF(W_カレンダー[[#This Row],[月]]&lt;=9,"Q2","Q3")))</f>
        <v>Q1</v>
      </c>
    </row>
    <row r="1107" spans="1:5" ht="18" customHeight="1" x14ac:dyDescent="0.25">
      <c r="A1107" s="27">
        <v>46122</v>
      </c>
      <c r="B1107" s="29">
        <f>MONTH(W_カレンダー[[#This Row],[日付]])</f>
        <v>4</v>
      </c>
      <c r="C1107" s="1">
        <f>YEAR(W_カレンダー[[#This Row],[日付]])</f>
        <v>2026</v>
      </c>
      <c r="D1107" s="1">
        <f>IF(W_カレンダー[[#This Row],[月]]&lt;=3,W_カレンダー[[#This Row],[暦年]]-1,W_カレンダー[[#This Row],[暦年]])</f>
        <v>2026</v>
      </c>
      <c r="E1107" s="1" t="str">
        <f>IF(W_カレンダー[[#This Row],[月]]&lt;=3,"Q4",IF(W_カレンダー[[#This Row],[月]]&lt;=6,"Q1",IF(W_カレンダー[[#This Row],[月]]&lt;=9,"Q2","Q3")))</f>
        <v>Q1</v>
      </c>
    </row>
    <row r="1108" spans="1:5" ht="18" customHeight="1" x14ac:dyDescent="0.25">
      <c r="A1108" s="27">
        <v>46123</v>
      </c>
      <c r="B1108" s="29">
        <f>MONTH(W_カレンダー[[#This Row],[日付]])</f>
        <v>4</v>
      </c>
      <c r="C1108" s="1">
        <f>YEAR(W_カレンダー[[#This Row],[日付]])</f>
        <v>2026</v>
      </c>
      <c r="D1108" s="1">
        <f>IF(W_カレンダー[[#This Row],[月]]&lt;=3,W_カレンダー[[#This Row],[暦年]]-1,W_カレンダー[[#This Row],[暦年]])</f>
        <v>2026</v>
      </c>
      <c r="E1108" s="1" t="str">
        <f>IF(W_カレンダー[[#This Row],[月]]&lt;=3,"Q4",IF(W_カレンダー[[#This Row],[月]]&lt;=6,"Q1",IF(W_カレンダー[[#This Row],[月]]&lt;=9,"Q2","Q3")))</f>
        <v>Q1</v>
      </c>
    </row>
    <row r="1109" spans="1:5" ht="18" customHeight="1" x14ac:dyDescent="0.25">
      <c r="A1109" s="27">
        <v>46124</v>
      </c>
      <c r="B1109" s="29">
        <f>MONTH(W_カレンダー[[#This Row],[日付]])</f>
        <v>4</v>
      </c>
      <c r="C1109" s="1">
        <f>YEAR(W_カレンダー[[#This Row],[日付]])</f>
        <v>2026</v>
      </c>
      <c r="D1109" s="1">
        <f>IF(W_カレンダー[[#This Row],[月]]&lt;=3,W_カレンダー[[#This Row],[暦年]]-1,W_カレンダー[[#This Row],[暦年]])</f>
        <v>2026</v>
      </c>
      <c r="E1109" s="1" t="str">
        <f>IF(W_カレンダー[[#This Row],[月]]&lt;=3,"Q4",IF(W_カレンダー[[#This Row],[月]]&lt;=6,"Q1",IF(W_カレンダー[[#This Row],[月]]&lt;=9,"Q2","Q3")))</f>
        <v>Q1</v>
      </c>
    </row>
    <row r="1110" spans="1:5" ht="18" customHeight="1" x14ac:dyDescent="0.25">
      <c r="A1110" s="27">
        <v>46125</v>
      </c>
      <c r="B1110" s="29">
        <f>MONTH(W_カレンダー[[#This Row],[日付]])</f>
        <v>4</v>
      </c>
      <c r="C1110" s="1">
        <f>YEAR(W_カレンダー[[#This Row],[日付]])</f>
        <v>2026</v>
      </c>
      <c r="D1110" s="1">
        <f>IF(W_カレンダー[[#This Row],[月]]&lt;=3,W_カレンダー[[#This Row],[暦年]]-1,W_カレンダー[[#This Row],[暦年]])</f>
        <v>2026</v>
      </c>
      <c r="E1110" s="1" t="str">
        <f>IF(W_カレンダー[[#This Row],[月]]&lt;=3,"Q4",IF(W_カレンダー[[#This Row],[月]]&lt;=6,"Q1",IF(W_カレンダー[[#This Row],[月]]&lt;=9,"Q2","Q3")))</f>
        <v>Q1</v>
      </c>
    </row>
    <row r="1111" spans="1:5" ht="18" customHeight="1" x14ac:dyDescent="0.25">
      <c r="A1111" s="27">
        <v>46126</v>
      </c>
      <c r="B1111" s="29">
        <f>MONTH(W_カレンダー[[#This Row],[日付]])</f>
        <v>4</v>
      </c>
      <c r="C1111" s="1">
        <f>YEAR(W_カレンダー[[#This Row],[日付]])</f>
        <v>2026</v>
      </c>
      <c r="D1111" s="1">
        <f>IF(W_カレンダー[[#This Row],[月]]&lt;=3,W_カレンダー[[#This Row],[暦年]]-1,W_カレンダー[[#This Row],[暦年]])</f>
        <v>2026</v>
      </c>
      <c r="E1111" s="1" t="str">
        <f>IF(W_カレンダー[[#This Row],[月]]&lt;=3,"Q4",IF(W_カレンダー[[#This Row],[月]]&lt;=6,"Q1",IF(W_カレンダー[[#This Row],[月]]&lt;=9,"Q2","Q3")))</f>
        <v>Q1</v>
      </c>
    </row>
    <row r="1112" spans="1:5" ht="18" customHeight="1" x14ac:dyDescent="0.25">
      <c r="A1112" s="27">
        <v>46127</v>
      </c>
      <c r="B1112" s="29">
        <f>MONTH(W_カレンダー[[#This Row],[日付]])</f>
        <v>4</v>
      </c>
      <c r="C1112" s="1">
        <f>YEAR(W_カレンダー[[#This Row],[日付]])</f>
        <v>2026</v>
      </c>
      <c r="D1112" s="1">
        <f>IF(W_カレンダー[[#This Row],[月]]&lt;=3,W_カレンダー[[#This Row],[暦年]]-1,W_カレンダー[[#This Row],[暦年]])</f>
        <v>2026</v>
      </c>
      <c r="E1112" s="1" t="str">
        <f>IF(W_カレンダー[[#This Row],[月]]&lt;=3,"Q4",IF(W_カレンダー[[#This Row],[月]]&lt;=6,"Q1",IF(W_カレンダー[[#This Row],[月]]&lt;=9,"Q2","Q3")))</f>
        <v>Q1</v>
      </c>
    </row>
    <row r="1113" spans="1:5" ht="18" customHeight="1" x14ac:dyDescent="0.25">
      <c r="A1113" s="27">
        <v>46128</v>
      </c>
      <c r="B1113" s="29">
        <f>MONTH(W_カレンダー[[#This Row],[日付]])</f>
        <v>4</v>
      </c>
      <c r="C1113" s="1">
        <f>YEAR(W_カレンダー[[#This Row],[日付]])</f>
        <v>2026</v>
      </c>
      <c r="D1113" s="1">
        <f>IF(W_カレンダー[[#This Row],[月]]&lt;=3,W_カレンダー[[#This Row],[暦年]]-1,W_カレンダー[[#This Row],[暦年]])</f>
        <v>2026</v>
      </c>
      <c r="E1113" s="1" t="str">
        <f>IF(W_カレンダー[[#This Row],[月]]&lt;=3,"Q4",IF(W_カレンダー[[#This Row],[月]]&lt;=6,"Q1",IF(W_カレンダー[[#This Row],[月]]&lt;=9,"Q2","Q3")))</f>
        <v>Q1</v>
      </c>
    </row>
    <row r="1114" spans="1:5" ht="18" customHeight="1" x14ac:dyDescent="0.25">
      <c r="A1114" s="27">
        <v>46129</v>
      </c>
      <c r="B1114" s="29">
        <f>MONTH(W_カレンダー[[#This Row],[日付]])</f>
        <v>4</v>
      </c>
      <c r="C1114" s="1">
        <f>YEAR(W_カレンダー[[#This Row],[日付]])</f>
        <v>2026</v>
      </c>
      <c r="D1114" s="1">
        <f>IF(W_カレンダー[[#This Row],[月]]&lt;=3,W_カレンダー[[#This Row],[暦年]]-1,W_カレンダー[[#This Row],[暦年]])</f>
        <v>2026</v>
      </c>
      <c r="E1114" s="1" t="str">
        <f>IF(W_カレンダー[[#This Row],[月]]&lt;=3,"Q4",IF(W_カレンダー[[#This Row],[月]]&lt;=6,"Q1",IF(W_カレンダー[[#This Row],[月]]&lt;=9,"Q2","Q3")))</f>
        <v>Q1</v>
      </c>
    </row>
    <row r="1115" spans="1:5" ht="18" customHeight="1" x14ac:dyDescent="0.25">
      <c r="A1115" s="27">
        <v>46130</v>
      </c>
      <c r="B1115" s="29">
        <f>MONTH(W_カレンダー[[#This Row],[日付]])</f>
        <v>4</v>
      </c>
      <c r="C1115" s="1">
        <f>YEAR(W_カレンダー[[#This Row],[日付]])</f>
        <v>2026</v>
      </c>
      <c r="D1115" s="1">
        <f>IF(W_カレンダー[[#This Row],[月]]&lt;=3,W_カレンダー[[#This Row],[暦年]]-1,W_カレンダー[[#This Row],[暦年]])</f>
        <v>2026</v>
      </c>
      <c r="E1115" s="1" t="str">
        <f>IF(W_カレンダー[[#This Row],[月]]&lt;=3,"Q4",IF(W_カレンダー[[#This Row],[月]]&lt;=6,"Q1",IF(W_カレンダー[[#This Row],[月]]&lt;=9,"Q2","Q3")))</f>
        <v>Q1</v>
      </c>
    </row>
    <row r="1116" spans="1:5" ht="18" customHeight="1" x14ac:dyDescent="0.25">
      <c r="A1116" s="27">
        <v>46131</v>
      </c>
      <c r="B1116" s="29">
        <f>MONTH(W_カレンダー[[#This Row],[日付]])</f>
        <v>4</v>
      </c>
      <c r="C1116" s="1">
        <f>YEAR(W_カレンダー[[#This Row],[日付]])</f>
        <v>2026</v>
      </c>
      <c r="D1116" s="1">
        <f>IF(W_カレンダー[[#This Row],[月]]&lt;=3,W_カレンダー[[#This Row],[暦年]]-1,W_カレンダー[[#This Row],[暦年]])</f>
        <v>2026</v>
      </c>
      <c r="E1116" s="1" t="str">
        <f>IF(W_カレンダー[[#This Row],[月]]&lt;=3,"Q4",IF(W_カレンダー[[#This Row],[月]]&lt;=6,"Q1",IF(W_カレンダー[[#This Row],[月]]&lt;=9,"Q2","Q3")))</f>
        <v>Q1</v>
      </c>
    </row>
    <row r="1117" spans="1:5" ht="18" customHeight="1" x14ac:dyDescent="0.25">
      <c r="A1117" s="27">
        <v>46132</v>
      </c>
      <c r="B1117" s="29">
        <f>MONTH(W_カレンダー[[#This Row],[日付]])</f>
        <v>4</v>
      </c>
      <c r="C1117" s="1">
        <f>YEAR(W_カレンダー[[#This Row],[日付]])</f>
        <v>2026</v>
      </c>
      <c r="D1117" s="1">
        <f>IF(W_カレンダー[[#This Row],[月]]&lt;=3,W_カレンダー[[#This Row],[暦年]]-1,W_カレンダー[[#This Row],[暦年]])</f>
        <v>2026</v>
      </c>
      <c r="E1117" s="1" t="str">
        <f>IF(W_カレンダー[[#This Row],[月]]&lt;=3,"Q4",IF(W_カレンダー[[#This Row],[月]]&lt;=6,"Q1",IF(W_カレンダー[[#This Row],[月]]&lt;=9,"Q2","Q3")))</f>
        <v>Q1</v>
      </c>
    </row>
    <row r="1118" spans="1:5" ht="18" customHeight="1" x14ac:dyDescent="0.25">
      <c r="A1118" s="27">
        <v>46133</v>
      </c>
      <c r="B1118" s="29">
        <f>MONTH(W_カレンダー[[#This Row],[日付]])</f>
        <v>4</v>
      </c>
      <c r="C1118" s="1">
        <f>YEAR(W_カレンダー[[#This Row],[日付]])</f>
        <v>2026</v>
      </c>
      <c r="D1118" s="1">
        <f>IF(W_カレンダー[[#This Row],[月]]&lt;=3,W_カレンダー[[#This Row],[暦年]]-1,W_カレンダー[[#This Row],[暦年]])</f>
        <v>2026</v>
      </c>
      <c r="E1118" s="1" t="str">
        <f>IF(W_カレンダー[[#This Row],[月]]&lt;=3,"Q4",IF(W_カレンダー[[#This Row],[月]]&lt;=6,"Q1",IF(W_カレンダー[[#This Row],[月]]&lt;=9,"Q2","Q3")))</f>
        <v>Q1</v>
      </c>
    </row>
    <row r="1119" spans="1:5" ht="18" customHeight="1" x14ac:dyDescent="0.25">
      <c r="A1119" s="27">
        <v>46134</v>
      </c>
      <c r="B1119" s="29">
        <f>MONTH(W_カレンダー[[#This Row],[日付]])</f>
        <v>4</v>
      </c>
      <c r="C1119" s="1">
        <f>YEAR(W_カレンダー[[#This Row],[日付]])</f>
        <v>2026</v>
      </c>
      <c r="D1119" s="1">
        <f>IF(W_カレンダー[[#This Row],[月]]&lt;=3,W_カレンダー[[#This Row],[暦年]]-1,W_カレンダー[[#This Row],[暦年]])</f>
        <v>2026</v>
      </c>
      <c r="E1119" s="1" t="str">
        <f>IF(W_カレンダー[[#This Row],[月]]&lt;=3,"Q4",IF(W_カレンダー[[#This Row],[月]]&lt;=6,"Q1",IF(W_カレンダー[[#This Row],[月]]&lt;=9,"Q2","Q3")))</f>
        <v>Q1</v>
      </c>
    </row>
    <row r="1120" spans="1:5" ht="18" customHeight="1" x14ac:dyDescent="0.25">
      <c r="A1120" s="27">
        <v>46135</v>
      </c>
      <c r="B1120" s="29">
        <f>MONTH(W_カレンダー[[#This Row],[日付]])</f>
        <v>4</v>
      </c>
      <c r="C1120" s="1">
        <f>YEAR(W_カレンダー[[#This Row],[日付]])</f>
        <v>2026</v>
      </c>
      <c r="D1120" s="1">
        <f>IF(W_カレンダー[[#This Row],[月]]&lt;=3,W_カレンダー[[#This Row],[暦年]]-1,W_カレンダー[[#This Row],[暦年]])</f>
        <v>2026</v>
      </c>
      <c r="E1120" s="1" t="str">
        <f>IF(W_カレンダー[[#This Row],[月]]&lt;=3,"Q4",IF(W_カレンダー[[#This Row],[月]]&lt;=6,"Q1",IF(W_カレンダー[[#This Row],[月]]&lt;=9,"Q2","Q3")))</f>
        <v>Q1</v>
      </c>
    </row>
    <row r="1121" spans="1:5" ht="18" customHeight="1" x14ac:dyDescent="0.25">
      <c r="A1121" s="27">
        <v>46136</v>
      </c>
      <c r="B1121" s="29">
        <f>MONTH(W_カレンダー[[#This Row],[日付]])</f>
        <v>4</v>
      </c>
      <c r="C1121" s="1">
        <f>YEAR(W_カレンダー[[#This Row],[日付]])</f>
        <v>2026</v>
      </c>
      <c r="D1121" s="1">
        <f>IF(W_カレンダー[[#This Row],[月]]&lt;=3,W_カレンダー[[#This Row],[暦年]]-1,W_カレンダー[[#This Row],[暦年]])</f>
        <v>2026</v>
      </c>
      <c r="E1121" s="1" t="str">
        <f>IF(W_カレンダー[[#This Row],[月]]&lt;=3,"Q4",IF(W_カレンダー[[#This Row],[月]]&lt;=6,"Q1",IF(W_カレンダー[[#This Row],[月]]&lt;=9,"Q2","Q3")))</f>
        <v>Q1</v>
      </c>
    </row>
    <row r="1122" spans="1:5" ht="18" customHeight="1" x14ac:dyDescent="0.25">
      <c r="A1122" s="27">
        <v>46137</v>
      </c>
      <c r="B1122" s="29">
        <f>MONTH(W_カレンダー[[#This Row],[日付]])</f>
        <v>4</v>
      </c>
      <c r="C1122" s="1">
        <f>YEAR(W_カレンダー[[#This Row],[日付]])</f>
        <v>2026</v>
      </c>
      <c r="D1122" s="1">
        <f>IF(W_カレンダー[[#This Row],[月]]&lt;=3,W_カレンダー[[#This Row],[暦年]]-1,W_カレンダー[[#This Row],[暦年]])</f>
        <v>2026</v>
      </c>
      <c r="E1122" s="1" t="str">
        <f>IF(W_カレンダー[[#This Row],[月]]&lt;=3,"Q4",IF(W_カレンダー[[#This Row],[月]]&lt;=6,"Q1",IF(W_カレンダー[[#This Row],[月]]&lt;=9,"Q2","Q3")))</f>
        <v>Q1</v>
      </c>
    </row>
    <row r="1123" spans="1:5" ht="18" customHeight="1" x14ac:dyDescent="0.25">
      <c r="A1123" s="27">
        <v>46138</v>
      </c>
      <c r="B1123" s="29">
        <f>MONTH(W_カレンダー[[#This Row],[日付]])</f>
        <v>4</v>
      </c>
      <c r="C1123" s="1">
        <f>YEAR(W_カレンダー[[#This Row],[日付]])</f>
        <v>2026</v>
      </c>
      <c r="D1123" s="1">
        <f>IF(W_カレンダー[[#This Row],[月]]&lt;=3,W_カレンダー[[#This Row],[暦年]]-1,W_カレンダー[[#This Row],[暦年]])</f>
        <v>2026</v>
      </c>
      <c r="E1123" s="1" t="str">
        <f>IF(W_カレンダー[[#This Row],[月]]&lt;=3,"Q4",IF(W_カレンダー[[#This Row],[月]]&lt;=6,"Q1",IF(W_カレンダー[[#This Row],[月]]&lt;=9,"Q2","Q3")))</f>
        <v>Q1</v>
      </c>
    </row>
    <row r="1124" spans="1:5" ht="18" customHeight="1" x14ac:dyDescent="0.25">
      <c r="A1124" s="27">
        <v>46139</v>
      </c>
      <c r="B1124" s="29">
        <f>MONTH(W_カレンダー[[#This Row],[日付]])</f>
        <v>4</v>
      </c>
      <c r="C1124" s="1">
        <f>YEAR(W_カレンダー[[#This Row],[日付]])</f>
        <v>2026</v>
      </c>
      <c r="D1124" s="1">
        <f>IF(W_カレンダー[[#This Row],[月]]&lt;=3,W_カレンダー[[#This Row],[暦年]]-1,W_カレンダー[[#This Row],[暦年]])</f>
        <v>2026</v>
      </c>
      <c r="E1124" s="1" t="str">
        <f>IF(W_カレンダー[[#This Row],[月]]&lt;=3,"Q4",IF(W_カレンダー[[#This Row],[月]]&lt;=6,"Q1",IF(W_カレンダー[[#This Row],[月]]&lt;=9,"Q2","Q3")))</f>
        <v>Q1</v>
      </c>
    </row>
    <row r="1125" spans="1:5" ht="18" customHeight="1" x14ac:dyDescent="0.25">
      <c r="A1125" s="27">
        <v>46140</v>
      </c>
      <c r="B1125" s="29">
        <f>MONTH(W_カレンダー[[#This Row],[日付]])</f>
        <v>4</v>
      </c>
      <c r="C1125" s="1">
        <f>YEAR(W_カレンダー[[#This Row],[日付]])</f>
        <v>2026</v>
      </c>
      <c r="D1125" s="1">
        <f>IF(W_カレンダー[[#This Row],[月]]&lt;=3,W_カレンダー[[#This Row],[暦年]]-1,W_カレンダー[[#This Row],[暦年]])</f>
        <v>2026</v>
      </c>
      <c r="E1125" s="1" t="str">
        <f>IF(W_カレンダー[[#This Row],[月]]&lt;=3,"Q4",IF(W_カレンダー[[#This Row],[月]]&lt;=6,"Q1",IF(W_カレンダー[[#This Row],[月]]&lt;=9,"Q2","Q3")))</f>
        <v>Q1</v>
      </c>
    </row>
    <row r="1126" spans="1:5" ht="18" customHeight="1" x14ac:dyDescent="0.25">
      <c r="A1126" s="27">
        <v>46141</v>
      </c>
      <c r="B1126" s="29">
        <f>MONTH(W_カレンダー[[#This Row],[日付]])</f>
        <v>4</v>
      </c>
      <c r="C1126" s="1">
        <f>YEAR(W_カレンダー[[#This Row],[日付]])</f>
        <v>2026</v>
      </c>
      <c r="D1126" s="1">
        <f>IF(W_カレンダー[[#This Row],[月]]&lt;=3,W_カレンダー[[#This Row],[暦年]]-1,W_カレンダー[[#This Row],[暦年]])</f>
        <v>2026</v>
      </c>
      <c r="E1126" s="1" t="str">
        <f>IF(W_カレンダー[[#This Row],[月]]&lt;=3,"Q4",IF(W_カレンダー[[#This Row],[月]]&lt;=6,"Q1",IF(W_カレンダー[[#This Row],[月]]&lt;=9,"Q2","Q3")))</f>
        <v>Q1</v>
      </c>
    </row>
    <row r="1127" spans="1:5" ht="18" customHeight="1" x14ac:dyDescent="0.25">
      <c r="A1127" s="27">
        <v>46142</v>
      </c>
      <c r="B1127" s="29">
        <f>MONTH(W_カレンダー[[#This Row],[日付]])</f>
        <v>4</v>
      </c>
      <c r="C1127" s="1">
        <f>YEAR(W_カレンダー[[#This Row],[日付]])</f>
        <v>2026</v>
      </c>
      <c r="D1127" s="1">
        <f>IF(W_カレンダー[[#This Row],[月]]&lt;=3,W_カレンダー[[#This Row],[暦年]]-1,W_カレンダー[[#This Row],[暦年]])</f>
        <v>2026</v>
      </c>
      <c r="E1127" s="1" t="str">
        <f>IF(W_カレンダー[[#This Row],[月]]&lt;=3,"Q4",IF(W_カレンダー[[#This Row],[月]]&lt;=6,"Q1",IF(W_カレンダー[[#This Row],[月]]&lt;=9,"Q2","Q3")))</f>
        <v>Q1</v>
      </c>
    </row>
    <row r="1128" spans="1:5" ht="18" customHeight="1" x14ac:dyDescent="0.25">
      <c r="A1128" s="27">
        <v>46143</v>
      </c>
      <c r="B1128" s="29">
        <f>MONTH(W_カレンダー[[#This Row],[日付]])</f>
        <v>5</v>
      </c>
      <c r="C1128" s="1">
        <f>YEAR(W_カレンダー[[#This Row],[日付]])</f>
        <v>2026</v>
      </c>
      <c r="D1128" s="1">
        <f>IF(W_カレンダー[[#This Row],[月]]&lt;=3,W_カレンダー[[#This Row],[暦年]]-1,W_カレンダー[[#This Row],[暦年]])</f>
        <v>2026</v>
      </c>
      <c r="E1128" s="1" t="str">
        <f>IF(W_カレンダー[[#This Row],[月]]&lt;=3,"Q4",IF(W_カレンダー[[#This Row],[月]]&lt;=6,"Q1",IF(W_カレンダー[[#This Row],[月]]&lt;=9,"Q2","Q3")))</f>
        <v>Q1</v>
      </c>
    </row>
    <row r="1129" spans="1:5" ht="18" customHeight="1" x14ac:dyDescent="0.25">
      <c r="A1129" s="27">
        <v>46144</v>
      </c>
      <c r="B1129" s="29">
        <f>MONTH(W_カレンダー[[#This Row],[日付]])</f>
        <v>5</v>
      </c>
      <c r="C1129" s="1">
        <f>YEAR(W_カレンダー[[#This Row],[日付]])</f>
        <v>2026</v>
      </c>
      <c r="D1129" s="1">
        <f>IF(W_カレンダー[[#This Row],[月]]&lt;=3,W_カレンダー[[#This Row],[暦年]]-1,W_カレンダー[[#This Row],[暦年]])</f>
        <v>2026</v>
      </c>
      <c r="E1129" s="1" t="str">
        <f>IF(W_カレンダー[[#This Row],[月]]&lt;=3,"Q4",IF(W_カレンダー[[#This Row],[月]]&lt;=6,"Q1",IF(W_カレンダー[[#This Row],[月]]&lt;=9,"Q2","Q3")))</f>
        <v>Q1</v>
      </c>
    </row>
    <row r="1130" spans="1:5" ht="18" customHeight="1" x14ac:dyDescent="0.25">
      <c r="A1130" s="27">
        <v>46145</v>
      </c>
      <c r="B1130" s="29">
        <f>MONTH(W_カレンダー[[#This Row],[日付]])</f>
        <v>5</v>
      </c>
      <c r="C1130" s="1">
        <f>YEAR(W_カレンダー[[#This Row],[日付]])</f>
        <v>2026</v>
      </c>
      <c r="D1130" s="1">
        <f>IF(W_カレンダー[[#This Row],[月]]&lt;=3,W_カレンダー[[#This Row],[暦年]]-1,W_カレンダー[[#This Row],[暦年]])</f>
        <v>2026</v>
      </c>
      <c r="E1130" s="1" t="str">
        <f>IF(W_カレンダー[[#This Row],[月]]&lt;=3,"Q4",IF(W_カレンダー[[#This Row],[月]]&lt;=6,"Q1",IF(W_カレンダー[[#This Row],[月]]&lt;=9,"Q2","Q3")))</f>
        <v>Q1</v>
      </c>
    </row>
    <row r="1131" spans="1:5" ht="18" customHeight="1" x14ac:dyDescent="0.25">
      <c r="A1131" s="27">
        <v>46146</v>
      </c>
      <c r="B1131" s="29">
        <f>MONTH(W_カレンダー[[#This Row],[日付]])</f>
        <v>5</v>
      </c>
      <c r="C1131" s="1">
        <f>YEAR(W_カレンダー[[#This Row],[日付]])</f>
        <v>2026</v>
      </c>
      <c r="D1131" s="1">
        <f>IF(W_カレンダー[[#This Row],[月]]&lt;=3,W_カレンダー[[#This Row],[暦年]]-1,W_カレンダー[[#This Row],[暦年]])</f>
        <v>2026</v>
      </c>
      <c r="E1131" s="1" t="str">
        <f>IF(W_カレンダー[[#This Row],[月]]&lt;=3,"Q4",IF(W_カレンダー[[#This Row],[月]]&lt;=6,"Q1",IF(W_カレンダー[[#This Row],[月]]&lt;=9,"Q2","Q3")))</f>
        <v>Q1</v>
      </c>
    </row>
    <row r="1132" spans="1:5" ht="18" customHeight="1" x14ac:dyDescent="0.25">
      <c r="A1132" s="27">
        <v>46147</v>
      </c>
      <c r="B1132" s="29">
        <f>MONTH(W_カレンダー[[#This Row],[日付]])</f>
        <v>5</v>
      </c>
      <c r="C1132" s="1">
        <f>YEAR(W_カレンダー[[#This Row],[日付]])</f>
        <v>2026</v>
      </c>
      <c r="D1132" s="1">
        <f>IF(W_カレンダー[[#This Row],[月]]&lt;=3,W_カレンダー[[#This Row],[暦年]]-1,W_カレンダー[[#This Row],[暦年]])</f>
        <v>2026</v>
      </c>
      <c r="E1132" s="1" t="str">
        <f>IF(W_カレンダー[[#This Row],[月]]&lt;=3,"Q4",IF(W_カレンダー[[#This Row],[月]]&lt;=6,"Q1",IF(W_カレンダー[[#This Row],[月]]&lt;=9,"Q2","Q3")))</f>
        <v>Q1</v>
      </c>
    </row>
    <row r="1133" spans="1:5" ht="18" customHeight="1" x14ac:dyDescent="0.25">
      <c r="A1133" s="27">
        <v>46148</v>
      </c>
      <c r="B1133" s="29">
        <f>MONTH(W_カレンダー[[#This Row],[日付]])</f>
        <v>5</v>
      </c>
      <c r="C1133" s="1">
        <f>YEAR(W_カレンダー[[#This Row],[日付]])</f>
        <v>2026</v>
      </c>
      <c r="D1133" s="1">
        <f>IF(W_カレンダー[[#This Row],[月]]&lt;=3,W_カレンダー[[#This Row],[暦年]]-1,W_カレンダー[[#This Row],[暦年]])</f>
        <v>2026</v>
      </c>
      <c r="E1133" s="1" t="str">
        <f>IF(W_カレンダー[[#This Row],[月]]&lt;=3,"Q4",IF(W_カレンダー[[#This Row],[月]]&lt;=6,"Q1",IF(W_カレンダー[[#This Row],[月]]&lt;=9,"Q2","Q3")))</f>
        <v>Q1</v>
      </c>
    </row>
    <row r="1134" spans="1:5" ht="18" customHeight="1" x14ac:dyDescent="0.25">
      <c r="A1134" s="27">
        <v>46149</v>
      </c>
      <c r="B1134" s="29">
        <f>MONTH(W_カレンダー[[#This Row],[日付]])</f>
        <v>5</v>
      </c>
      <c r="C1134" s="1">
        <f>YEAR(W_カレンダー[[#This Row],[日付]])</f>
        <v>2026</v>
      </c>
      <c r="D1134" s="1">
        <f>IF(W_カレンダー[[#This Row],[月]]&lt;=3,W_カレンダー[[#This Row],[暦年]]-1,W_カレンダー[[#This Row],[暦年]])</f>
        <v>2026</v>
      </c>
      <c r="E1134" s="1" t="str">
        <f>IF(W_カレンダー[[#This Row],[月]]&lt;=3,"Q4",IF(W_カレンダー[[#This Row],[月]]&lt;=6,"Q1",IF(W_カレンダー[[#This Row],[月]]&lt;=9,"Q2","Q3")))</f>
        <v>Q1</v>
      </c>
    </row>
    <row r="1135" spans="1:5" ht="18" customHeight="1" x14ac:dyDescent="0.25">
      <c r="A1135" s="27">
        <v>46150</v>
      </c>
      <c r="B1135" s="29">
        <f>MONTH(W_カレンダー[[#This Row],[日付]])</f>
        <v>5</v>
      </c>
      <c r="C1135" s="1">
        <f>YEAR(W_カレンダー[[#This Row],[日付]])</f>
        <v>2026</v>
      </c>
      <c r="D1135" s="1">
        <f>IF(W_カレンダー[[#This Row],[月]]&lt;=3,W_カレンダー[[#This Row],[暦年]]-1,W_カレンダー[[#This Row],[暦年]])</f>
        <v>2026</v>
      </c>
      <c r="E1135" s="1" t="str">
        <f>IF(W_カレンダー[[#This Row],[月]]&lt;=3,"Q4",IF(W_カレンダー[[#This Row],[月]]&lt;=6,"Q1",IF(W_カレンダー[[#This Row],[月]]&lt;=9,"Q2","Q3")))</f>
        <v>Q1</v>
      </c>
    </row>
    <row r="1136" spans="1:5" ht="18" customHeight="1" x14ac:dyDescent="0.25">
      <c r="A1136" s="27">
        <v>46151</v>
      </c>
      <c r="B1136" s="29">
        <f>MONTH(W_カレンダー[[#This Row],[日付]])</f>
        <v>5</v>
      </c>
      <c r="C1136" s="1">
        <f>YEAR(W_カレンダー[[#This Row],[日付]])</f>
        <v>2026</v>
      </c>
      <c r="D1136" s="1">
        <f>IF(W_カレンダー[[#This Row],[月]]&lt;=3,W_カレンダー[[#This Row],[暦年]]-1,W_カレンダー[[#This Row],[暦年]])</f>
        <v>2026</v>
      </c>
      <c r="E1136" s="1" t="str">
        <f>IF(W_カレンダー[[#This Row],[月]]&lt;=3,"Q4",IF(W_カレンダー[[#This Row],[月]]&lt;=6,"Q1",IF(W_カレンダー[[#This Row],[月]]&lt;=9,"Q2","Q3")))</f>
        <v>Q1</v>
      </c>
    </row>
    <row r="1137" spans="1:5" ht="18" customHeight="1" x14ac:dyDescent="0.25">
      <c r="A1137" s="27">
        <v>46152</v>
      </c>
      <c r="B1137" s="29">
        <f>MONTH(W_カレンダー[[#This Row],[日付]])</f>
        <v>5</v>
      </c>
      <c r="C1137" s="1">
        <f>YEAR(W_カレンダー[[#This Row],[日付]])</f>
        <v>2026</v>
      </c>
      <c r="D1137" s="1">
        <f>IF(W_カレンダー[[#This Row],[月]]&lt;=3,W_カレンダー[[#This Row],[暦年]]-1,W_カレンダー[[#This Row],[暦年]])</f>
        <v>2026</v>
      </c>
      <c r="E1137" s="1" t="str">
        <f>IF(W_カレンダー[[#This Row],[月]]&lt;=3,"Q4",IF(W_カレンダー[[#This Row],[月]]&lt;=6,"Q1",IF(W_カレンダー[[#This Row],[月]]&lt;=9,"Q2","Q3")))</f>
        <v>Q1</v>
      </c>
    </row>
    <row r="1138" spans="1:5" ht="18" customHeight="1" x14ac:dyDescent="0.25">
      <c r="A1138" s="27">
        <v>46153</v>
      </c>
      <c r="B1138" s="29">
        <f>MONTH(W_カレンダー[[#This Row],[日付]])</f>
        <v>5</v>
      </c>
      <c r="C1138" s="1">
        <f>YEAR(W_カレンダー[[#This Row],[日付]])</f>
        <v>2026</v>
      </c>
      <c r="D1138" s="1">
        <f>IF(W_カレンダー[[#This Row],[月]]&lt;=3,W_カレンダー[[#This Row],[暦年]]-1,W_カレンダー[[#This Row],[暦年]])</f>
        <v>2026</v>
      </c>
      <c r="E1138" s="1" t="str">
        <f>IF(W_カレンダー[[#This Row],[月]]&lt;=3,"Q4",IF(W_カレンダー[[#This Row],[月]]&lt;=6,"Q1",IF(W_カレンダー[[#This Row],[月]]&lt;=9,"Q2","Q3")))</f>
        <v>Q1</v>
      </c>
    </row>
    <row r="1139" spans="1:5" ht="18" customHeight="1" x14ac:dyDescent="0.25">
      <c r="A1139" s="27">
        <v>46154</v>
      </c>
      <c r="B1139" s="29">
        <f>MONTH(W_カレンダー[[#This Row],[日付]])</f>
        <v>5</v>
      </c>
      <c r="C1139" s="1">
        <f>YEAR(W_カレンダー[[#This Row],[日付]])</f>
        <v>2026</v>
      </c>
      <c r="D1139" s="1">
        <f>IF(W_カレンダー[[#This Row],[月]]&lt;=3,W_カレンダー[[#This Row],[暦年]]-1,W_カレンダー[[#This Row],[暦年]])</f>
        <v>2026</v>
      </c>
      <c r="E1139" s="1" t="str">
        <f>IF(W_カレンダー[[#This Row],[月]]&lt;=3,"Q4",IF(W_カレンダー[[#This Row],[月]]&lt;=6,"Q1",IF(W_カレンダー[[#This Row],[月]]&lt;=9,"Q2","Q3")))</f>
        <v>Q1</v>
      </c>
    </row>
    <row r="1140" spans="1:5" ht="18" customHeight="1" x14ac:dyDescent="0.25">
      <c r="A1140" s="27">
        <v>46155</v>
      </c>
      <c r="B1140" s="29">
        <f>MONTH(W_カレンダー[[#This Row],[日付]])</f>
        <v>5</v>
      </c>
      <c r="C1140" s="1">
        <f>YEAR(W_カレンダー[[#This Row],[日付]])</f>
        <v>2026</v>
      </c>
      <c r="D1140" s="1">
        <f>IF(W_カレンダー[[#This Row],[月]]&lt;=3,W_カレンダー[[#This Row],[暦年]]-1,W_カレンダー[[#This Row],[暦年]])</f>
        <v>2026</v>
      </c>
      <c r="E1140" s="1" t="str">
        <f>IF(W_カレンダー[[#This Row],[月]]&lt;=3,"Q4",IF(W_カレンダー[[#This Row],[月]]&lt;=6,"Q1",IF(W_カレンダー[[#This Row],[月]]&lt;=9,"Q2","Q3")))</f>
        <v>Q1</v>
      </c>
    </row>
    <row r="1141" spans="1:5" ht="18" customHeight="1" x14ac:dyDescent="0.25">
      <c r="A1141" s="27">
        <v>46156</v>
      </c>
      <c r="B1141" s="29">
        <f>MONTH(W_カレンダー[[#This Row],[日付]])</f>
        <v>5</v>
      </c>
      <c r="C1141" s="1">
        <f>YEAR(W_カレンダー[[#This Row],[日付]])</f>
        <v>2026</v>
      </c>
      <c r="D1141" s="1">
        <f>IF(W_カレンダー[[#This Row],[月]]&lt;=3,W_カレンダー[[#This Row],[暦年]]-1,W_カレンダー[[#This Row],[暦年]])</f>
        <v>2026</v>
      </c>
      <c r="E1141" s="1" t="str">
        <f>IF(W_カレンダー[[#This Row],[月]]&lt;=3,"Q4",IF(W_カレンダー[[#This Row],[月]]&lt;=6,"Q1",IF(W_カレンダー[[#This Row],[月]]&lt;=9,"Q2","Q3")))</f>
        <v>Q1</v>
      </c>
    </row>
    <row r="1142" spans="1:5" ht="18" customHeight="1" x14ac:dyDescent="0.25">
      <c r="A1142" s="27">
        <v>46157</v>
      </c>
      <c r="B1142" s="29">
        <f>MONTH(W_カレンダー[[#This Row],[日付]])</f>
        <v>5</v>
      </c>
      <c r="C1142" s="1">
        <f>YEAR(W_カレンダー[[#This Row],[日付]])</f>
        <v>2026</v>
      </c>
      <c r="D1142" s="1">
        <f>IF(W_カレンダー[[#This Row],[月]]&lt;=3,W_カレンダー[[#This Row],[暦年]]-1,W_カレンダー[[#This Row],[暦年]])</f>
        <v>2026</v>
      </c>
      <c r="E1142" s="1" t="str">
        <f>IF(W_カレンダー[[#This Row],[月]]&lt;=3,"Q4",IF(W_カレンダー[[#This Row],[月]]&lt;=6,"Q1",IF(W_カレンダー[[#This Row],[月]]&lt;=9,"Q2","Q3")))</f>
        <v>Q1</v>
      </c>
    </row>
    <row r="1143" spans="1:5" ht="18" customHeight="1" x14ac:dyDescent="0.25">
      <c r="A1143" s="27">
        <v>46158</v>
      </c>
      <c r="B1143" s="29">
        <f>MONTH(W_カレンダー[[#This Row],[日付]])</f>
        <v>5</v>
      </c>
      <c r="C1143" s="1">
        <f>YEAR(W_カレンダー[[#This Row],[日付]])</f>
        <v>2026</v>
      </c>
      <c r="D1143" s="1">
        <f>IF(W_カレンダー[[#This Row],[月]]&lt;=3,W_カレンダー[[#This Row],[暦年]]-1,W_カレンダー[[#This Row],[暦年]])</f>
        <v>2026</v>
      </c>
      <c r="E1143" s="1" t="str">
        <f>IF(W_カレンダー[[#This Row],[月]]&lt;=3,"Q4",IF(W_カレンダー[[#This Row],[月]]&lt;=6,"Q1",IF(W_カレンダー[[#This Row],[月]]&lt;=9,"Q2","Q3")))</f>
        <v>Q1</v>
      </c>
    </row>
    <row r="1144" spans="1:5" ht="18" customHeight="1" x14ac:dyDescent="0.25">
      <c r="A1144" s="27">
        <v>46159</v>
      </c>
      <c r="B1144" s="29">
        <f>MONTH(W_カレンダー[[#This Row],[日付]])</f>
        <v>5</v>
      </c>
      <c r="C1144" s="1">
        <f>YEAR(W_カレンダー[[#This Row],[日付]])</f>
        <v>2026</v>
      </c>
      <c r="D1144" s="1">
        <f>IF(W_カレンダー[[#This Row],[月]]&lt;=3,W_カレンダー[[#This Row],[暦年]]-1,W_カレンダー[[#This Row],[暦年]])</f>
        <v>2026</v>
      </c>
      <c r="E1144" s="1" t="str">
        <f>IF(W_カレンダー[[#This Row],[月]]&lt;=3,"Q4",IF(W_カレンダー[[#This Row],[月]]&lt;=6,"Q1",IF(W_カレンダー[[#This Row],[月]]&lt;=9,"Q2","Q3")))</f>
        <v>Q1</v>
      </c>
    </row>
    <row r="1145" spans="1:5" ht="18" customHeight="1" x14ac:dyDescent="0.25">
      <c r="A1145" s="27">
        <v>46160</v>
      </c>
      <c r="B1145" s="29">
        <f>MONTH(W_カレンダー[[#This Row],[日付]])</f>
        <v>5</v>
      </c>
      <c r="C1145" s="1">
        <f>YEAR(W_カレンダー[[#This Row],[日付]])</f>
        <v>2026</v>
      </c>
      <c r="D1145" s="1">
        <f>IF(W_カレンダー[[#This Row],[月]]&lt;=3,W_カレンダー[[#This Row],[暦年]]-1,W_カレンダー[[#This Row],[暦年]])</f>
        <v>2026</v>
      </c>
      <c r="E1145" s="1" t="str">
        <f>IF(W_カレンダー[[#This Row],[月]]&lt;=3,"Q4",IF(W_カレンダー[[#This Row],[月]]&lt;=6,"Q1",IF(W_カレンダー[[#This Row],[月]]&lt;=9,"Q2","Q3")))</f>
        <v>Q1</v>
      </c>
    </row>
    <row r="1146" spans="1:5" ht="18" customHeight="1" x14ac:dyDescent="0.25">
      <c r="A1146" s="27">
        <v>46161</v>
      </c>
      <c r="B1146" s="29">
        <f>MONTH(W_カレンダー[[#This Row],[日付]])</f>
        <v>5</v>
      </c>
      <c r="C1146" s="1">
        <f>YEAR(W_カレンダー[[#This Row],[日付]])</f>
        <v>2026</v>
      </c>
      <c r="D1146" s="1">
        <f>IF(W_カレンダー[[#This Row],[月]]&lt;=3,W_カレンダー[[#This Row],[暦年]]-1,W_カレンダー[[#This Row],[暦年]])</f>
        <v>2026</v>
      </c>
      <c r="E1146" s="1" t="str">
        <f>IF(W_カレンダー[[#This Row],[月]]&lt;=3,"Q4",IF(W_カレンダー[[#This Row],[月]]&lt;=6,"Q1",IF(W_カレンダー[[#This Row],[月]]&lt;=9,"Q2","Q3")))</f>
        <v>Q1</v>
      </c>
    </row>
    <row r="1147" spans="1:5" ht="18" customHeight="1" x14ac:dyDescent="0.25">
      <c r="A1147" s="27">
        <v>46162</v>
      </c>
      <c r="B1147" s="29">
        <f>MONTH(W_カレンダー[[#This Row],[日付]])</f>
        <v>5</v>
      </c>
      <c r="C1147" s="1">
        <f>YEAR(W_カレンダー[[#This Row],[日付]])</f>
        <v>2026</v>
      </c>
      <c r="D1147" s="1">
        <f>IF(W_カレンダー[[#This Row],[月]]&lt;=3,W_カレンダー[[#This Row],[暦年]]-1,W_カレンダー[[#This Row],[暦年]])</f>
        <v>2026</v>
      </c>
      <c r="E1147" s="1" t="str">
        <f>IF(W_カレンダー[[#This Row],[月]]&lt;=3,"Q4",IF(W_カレンダー[[#This Row],[月]]&lt;=6,"Q1",IF(W_カレンダー[[#This Row],[月]]&lt;=9,"Q2","Q3")))</f>
        <v>Q1</v>
      </c>
    </row>
    <row r="1148" spans="1:5" ht="18" customHeight="1" x14ac:dyDescent="0.25">
      <c r="A1148" s="27">
        <v>46163</v>
      </c>
      <c r="B1148" s="29">
        <f>MONTH(W_カレンダー[[#This Row],[日付]])</f>
        <v>5</v>
      </c>
      <c r="C1148" s="1">
        <f>YEAR(W_カレンダー[[#This Row],[日付]])</f>
        <v>2026</v>
      </c>
      <c r="D1148" s="1">
        <f>IF(W_カレンダー[[#This Row],[月]]&lt;=3,W_カレンダー[[#This Row],[暦年]]-1,W_カレンダー[[#This Row],[暦年]])</f>
        <v>2026</v>
      </c>
      <c r="E1148" s="1" t="str">
        <f>IF(W_カレンダー[[#This Row],[月]]&lt;=3,"Q4",IF(W_カレンダー[[#This Row],[月]]&lt;=6,"Q1",IF(W_カレンダー[[#This Row],[月]]&lt;=9,"Q2","Q3")))</f>
        <v>Q1</v>
      </c>
    </row>
    <row r="1149" spans="1:5" ht="18" customHeight="1" x14ac:dyDescent="0.25">
      <c r="A1149" s="27">
        <v>46164</v>
      </c>
      <c r="B1149" s="29">
        <f>MONTH(W_カレンダー[[#This Row],[日付]])</f>
        <v>5</v>
      </c>
      <c r="C1149" s="1">
        <f>YEAR(W_カレンダー[[#This Row],[日付]])</f>
        <v>2026</v>
      </c>
      <c r="D1149" s="1">
        <f>IF(W_カレンダー[[#This Row],[月]]&lt;=3,W_カレンダー[[#This Row],[暦年]]-1,W_カレンダー[[#This Row],[暦年]])</f>
        <v>2026</v>
      </c>
      <c r="E1149" s="1" t="str">
        <f>IF(W_カレンダー[[#This Row],[月]]&lt;=3,"Q4",IF(W_カレンダー[[#This Row],[月]]&lt;=6,"Q1",IF(W_カレンダー[[#This Row],[月]]&lt;=9,"Q2","Q3")))</f>
        <v>Q1</v>
      </c>
    </row>
    <row r="1150" spans="1:5" ht="18" customHeight="1" x14ac:dyDescent="0.25">
      <c r="A1150" s="27">
        <v>46165</v>
      </c>
      <c r="B1150" s="29">
        <f>MONTH(W_カレンダー[[#This Row],[日付]])</f>
        <v>5</v>
      </c>
      <c r="C1150" s="1">
        <f>YEAR(W_カレンダー[[#This Row],[日付]])</f>
        <v>2026</v>
      </c>
      <c r="D1150" s="1">
        <f>IF(W_カレンダー[[#This Row],[月]]&lt;=3,W_カレンダー[[#This Row],[暦年]]-1,W_カレンダー[[#This Row],[暦年]])</f>
        <v>2026</v>
      </c>
      <c r="E1150" s="1" t="str">
        <f>IF(W_カレンダー[[#This Row],[月]]&lt;=3,"Q4",IF(W_カレンダー[[#This Row],[月]]&lt;=6,"Q1",IF(W_カレンダー[[#This Row],[月]]&lt;=9,"Q2","Q3")))</f>
        <v>Q1</v>
      </c>
    </row>
    <row r="1151" spans="1:5" ht="18" customHeight="1" x14ac:dyDescent="0.25">
      <c r="A1151" s="27">
        <v>46166</v>
      </c>
      <c r="B1151" s="29">
        <f>MONTH(W_カレンダー[[#This Row],[日付]])</f>
        <v>5</v>
      </c>
      <c r="C1151" s="1">
        <f>YEAR(W_カレンダー[[#This Row],[日付]])</f>
        <v>2026</v>
      </c>
      <c r="D1151" s="1">
        <f>IF(W_カレンダー[[#This Row],[月]]&lt;=3,W_カレンダー[[#This Row],[暦年]]-1,W_カレンダー[[#This Row],[暦年]])</f>
        <v>2026</v>
      </c>
      <c r="E1151" s="1" t="str">
        <f>IF(W_カレンダー[[#This Row],[月]]&lt;=3,"Q4",IF(W_カレンダー[[#This Row],[月]]&lt;=6,"Q1",IF(W_カレンダー[[#This Row],[月]]&lt;=9,"Q2","Q3")))</f>
        <v>Q1</v>
      </c>
    </row>
    <row r="1152" spans="1:5" ht="18" customHeight="1" x14ac:dyDescent="0.25">
      <c r="A1152" s="27">
        <v>46167</v>
      </c>
      <c r="B1152" s="29">
        <f>MONTH(W_カレンダー[[#This Row],[日付]])</f>
        <v>5</v>
      </c>
      <c r="C1152" s="1">
        <f>YEAR(W_カレンダー[[#This Row],[日付]])</f>
        <v>2026</v>
      </c>
      <c r="D1152" s="1">
        <f>IF(W_カレンダー[[#This Row],[月]]&lt;=3,W_カレンダー[[#This Row],[暦年]]-1,W_カレンダー[[#This Row],[暦年]])</f>
        <v>2026</v>
      </c>
      <c r="E1152" s="1" t="str">
        <f>IF(W_カレンダー[[#This Row],[月]]&lt;=3,"Q4",IF(W_カレンダー[[#This Row],[月]]&lt;=6,"Q1",IF(W_カレンダー[[#This Row],[月]]&lt;=9,"Q2","Q3")))</f>
        <v>Q1</v>
      </c>
    </row>
    <row r="1153" spans="1:5" ht="18" customHeight="1" x14ac:dyDescent="0.25">
      <c r="A1153" s="27">
        <v>46168</v>
      </c>
      <c r="B1153" s="29">
        <f>MONTH(W_カレンダー[[#This Row],[日付]])</f>
        <v>5</v>
      </c>
      <c r="C1153" s="1">
        <f>YEAR(W_カレンダー[[#This Row],[日付]])</f>
        <v>2026</v>
      </c>
      <c r="D1153" s="1">
        <f>IF(W_カレンダー[[#This Row],[月]]&lt;=3,W_カレンダー[[#This Row],[暦年]]-1,W_カレンダー[[#This Row],[暦年]])</f>
        <v>2026</v>
      </c>
      <c r="E1153" s="1" t="str">
        <f>IF(W_カレンダー[[#This Row],[月]]&lt;=3,"Q4",IF(W_カレンダー[[#This Row],[月]]&lt;=6,"Q1",IF(W_カレンダー[[#This Row],[月]]&lt;=9,"Q2","Q3")))</f>
        <v>Q1</v>
      </c>
    </row>
    <row r="1154" spans="1:5" ht="18" customHeight="1" x14ac:dyDescent="0.25">
      <c r="A1154" s="27">
        <v>46169</v>
      </c>
      <c r="B1154" s="29">
        <f>MONTH(W_カレンダー[[#This Row],[日付]])</f>
        <v>5</v>
      </c>
      <c r="C1154" s="1">
        <f>YEAR(W_カレンダー[[#This Row],[日付]])</f>
        <v>2026</v>
      </c>
      <c r="D1154" s="1">
        <f>IF(W_カレンダー[[#This Row],[月]]&lt;=3,W_カレンダー[[#This Row],[暦年]]-1,W_カレンダー[[#This Row],[暦年]])</f>
        <v>2026</v>
      </c>
      <c r="E1154" s="1" t="str">
        <f>IF(W_カレンダー[[#This Row],[月]]&lt;=3,"Q4",IF(W_カレンダー[[#This Row],[月]]&lt;=6,"Q1",IF(W_カレンダー[[#This Row],[月]]&lt;=9,"Q2","Q3")))</f>
        <v>Q1</v>
      </c>
    </row>
    <row r="1155" spans="1:5" ht="18" customHeight="1" x14ac:dyDescent="0.25">
      <c r="A1155" s="27">
        <v>46170</v>
      </c>
      <c r="B1155" s="29">
        <f>MONTH(W_カレンダー[[#This Row],[日付]])</f>
        <v>5</v>
      </c>
      <c r="C1155" s="1">
        <f>YEAR(W_カレンダー[[#This Row],[日付]])</f>
        <v>2026</v>
      </c>
      <c r="D1155" s="1">
        <f>IF(W_カレンダー[[#This Row],[月]]&lt;=3,W_カレンダー[[#This Row],[暦年]]-1,W_カレンダー[[#This Row],[暦年]])</f>
        <v>2026</v>
      </c>
      <c r="E1155" s="1" t="str">
        <f>IF(W_カレンダー[[#This Row],[月]]&lt;=3,"Q4",IF(W_カレンダー[[#This Row],[月]]&lt;=6,"Q1",IF(W_カレンダー[[#This Row],[月]]&lt;=9,"Q2","Q3")))</f>
        <v>Q1</v>
      </c>
    </row>
    <row r="1156" spans="1:5" ht="18" customHeight="1" x14ac:dyDescent="0.25">
      <c r="A1156" s="27">
        <v>46171</v>
      </c>
      <c r="B1156" s="29">
        <f>MONTH(W_カレンダー[[#This Row],[日付]])</f>
        <v>5</v>
      </c>
      <c r="C1156" s="1">
        <f>YEAR(W_カレンダー[[#This Row],[日付]])</f>
        <v>2026</v>
      </c>
      <c r="D1156" s="1">
        <f>IF(W_カレンダー[[#This Row],[月]]&lt;=3,W_カレンダー[[#This Row],[暦年]]-1,W_カレンダー[[#This Row],[暦年]])</f>
        <v>2026</v>
      </c>
      <c r="E1156" s="1" t="str">
        <f>IF(W_カレンダー[[#This Row],[月]]&lt;=3,"Q4",IF(W_カレンダー[[#This Row],[月]]&lt;=6,"Q1",IF(W_カレンダー[[#This Row],[月]]&lt;=9,"Q2","Q3")))</f>
        <v>Q1</v>
      </c>
    </row>
    <row r="1157" spans="1:5" ht="18" customHeight="1" x14ac:dyDescent="0.25">
      <c r="A1157" s="27">
        <v>46172</v>
      </c>
      <c r="B1157" s="29">
        <f>MONTH(W_カレンダー[[#This Row],[日付]])</f>
        <v>5</v>
      </c>
      <c r="C1157" s="1">
        <f>YEAR(W_カレンダー[[#This Row],[日付]])</f>
        <v>2026</v>
      </c>
      <c r="D1157" s="1">
        <f>IF(W_カレンダー[[#This Row],[月]]&lt;=3,W_カレンダー[[#This Row],[暦年]]-1,W_カレンダー[[#This Row],[暦年]])</f>
        <v>2026</v>
      </c>
      <c r="E1157" s="1" t="str">
        <f>IF(W_カレンダー[[#This Row],[月]]&lt;=3,"Q4",IF(W_カレンダー[[#This Row],[月]]&lt;=6,"Q1",IF(W_カレンダー[[#This Row],[月]]&lt;=9,"Q2","Q3")))</f>
        <v>Q1</v>
      </c>
    </row>
    <row r="1158" spans="1:5" ht="18" customHeight="1" x14ac:dyDescent="0.25">
      <c r="A1158" s="27">
        <v>46173</v>
      </c>
      <c r="B1158" s="29">
        <f>MONTH(W_カレンダー[[#This Row],[日付]])</f>
        <v>5</v>
      </c>
      <c r="C1158" s="1">
        <f>YEAR(W_カレンダー[[#This Row],[日付]])</f>
        <v>2026</v>
      </c>
      <c r="D1158" s="1">
        <f>IF(W_カレンダー[[#This Row],[月]]&lt;=3,W_カレンダー[[#This Row],[暦年]]-1,W_カレンダー[[#This Row],[暦年]])</f>
        <v>2026</v>
      </c>
      <c r="E1158" s="1" t="str">
        <f>IF(W_カレンダー[[#This Row],[月]]&lt;=3,"Q4",IF(W_カレンダー[[#This Row],[月]]&lt;=6,"Q1",IF(W_カレンダー[[#This Row],[月]]&lt;=9,"Q2","Q3")))</f>
        <v>Q1</v>
      </c>
    </row>
    <row r="1159" spans="1:5" ht="18" customHeight="1" x14ac:dyDescent="0.25">
      <c r="A1159" s="27">
        <v>46174</v>
      </c>
      <c r="B1159" s="29">
        <f>MONTH(W_カレンダー[[#This Row],[日付]])</f>
        <v>6</v>
      </c>
      <c r="C1159" s="1">
        <f>YEAR(W_カレンダー[[#This Row],[日付]])</f>
        <v>2026</v>
      </c>
      <c r="D1159" s="1">
        <f>IF(W_カレンダー[[#This Row],[月]]&lt;=3,W_カレンダー[[#This Row],[暦年]]-1,W_カレンダー[[#This Row],[暦年]])</f>
        <v>2026</v>
      </c>
      <c r="E1159" s="1" t="str">
        <f>IF(W_カレンダー[[#This Row],[月]]&lt;=3,"Q4",IF(W_カレンダー[[#This Row],[月]]&lt;=6,"Q1",IF(W_カレンダー[[#This Row],[月]]&lt;=9,"Q2","Q3")))</f>
        <v>Q1</v>
      </c>
    </row>
    <row r="1160" spans="1:5" ht="18" customHeight="1" x14ac:dyDescent="0.25">
      <c r="A1160" s="27">
        <v>46175</v>
      </c>
      <c r="B1160" s="29">
        <f>MONTH(W_カレンダー[[#This Row],[日付]])</f>
        <v>6</v>
      </c>
      <c r="C1160" s="1">
        <f>YEAR(W_カレンダー[[#This Row],[日付]])</f>
        <v>2026</v>
      </c>
      <c r="D1160" s="1">
        <f>IF(W_カレンダー[[#This Row],[月]]&lt;=3,W_カレンダー[[#This Row],[暦年]]-1,W_カレンダー[[#This Row],[暦年]])</f>
        <v>2026</v>
      </c>
      <c r="E1160" s="1" t="str">
        <f>IF(W_カレンダー[[#This Row],[月]]&lt;=3,"Q4",IF(W_カレンダー[[#This Row],[月]]&lt;=6,"Q1",IF(W_カレンダー[[#This Row],[月]]&lt;=9,"Q2","Q3")))</f>
        <v>Q1</v>
      </c>
    </row>
    <row r="1161" spans="1:5" ht="18" customHeight="1" x14ac:dyDescent="0.25">
      <c r="A1161" s="27">
        <v>46176</v>
      </c>
      <c r="B1161" s="29">
        <f>MONTH(W_カレンダー[[#This Row],[日付]])</f>
        <v>6</v>
      </c>
      <c r="C1161" s="1">
        <f>YEAR(W_カレンダー[[#This Row],[日付]])</f>
        <v>2026</v>
      </c>
      <c r="D1161" s="1">
        <f>IF(W_カレンダー[[#This Row],[月]]&lt;=3,W_カレンダー[[#This Row],[暦年]]-1,W_カレンダー[[#This Row],[暦年]])</f>
        <v>2026</v>
      </c>
      <c r="E1161" s="1" t="str">
        <f>IF(W_カレンダー[[#This Row],[月]]&lt;=3,"Q4",IF(W_カレンダー[[#This Row],[月]]&lt;=6,"Q1",IF(W_カレンダー[[#This Row],[月]]&lt;=9,"Q2","Q3")))</f>
        <v>Q1</v>
      </c>
    </row>
    <row r="1162" spans="1:5" ht="18" customHeight="1" x14ac:dyDescent="0.25">
      <c r="A1162" s="27">
        <v>46177</v>
      </c>
      <c r="B1162" s="29">
        <f>MONTH(W_カレンダー[[#This Row],[日付]])</f>
        <v>6</v>
      </c>
      <c r="C1162" s="1">
        <f>YEAR(W_カレンダー[[#This Row],[日付]])</f>
        <v>2026</v>
      </c>
      <c r="D1162" s="1">
        <f>IF(W_カレンダー[[#This Row],[月]]&lt;=3,W_カレンダー[[#This Row],[暦年]]-1,W_カレンダー[[#This Row],[暦年]])</f>
        <v>2026</v>
      </c>
      <c r="E1162" s="1" t="str">
        <f>IF(W_カレンダー[[#This Row],[月]]&lt;=3,"Q4",IF(W_カレンダー[[#This Row],[月]]&lt;=6,"Q1",IF(W_カレンダー[[#This Row],[月]]&lt;=9,"Q2","Q3")))</f>
        <v>Q1</v>
      </c>
    </row>
    <row r="1163" spans="1:5" ht="18" customHeight="1" x14ac:dyDescent="0.25">
      <c r="A1163" s="27">
        <v>46178</v>
      </c>
      <c r="B1163" s="29">
        <f>MONTH(W_カレンダー[[#This Row],[日付]])</f>
        <v>6</v>
      </c>
      <c r="C1163" s="1">
        <f>YEAR(W_カレンダー[[#This Row],[日付]])</f>
        <v>2026</v>
      </c>
      <c r="D1163" s="1">
        <f>IF(W_カレンダー[[#This Row],[月]]&lt;=3,W_カレンダー[[#This Row],[暦年]]-1,W_カレンダー[[#This Row],[暦年]])</f>
        <v>2026</v>
      </c>
      <c r="E1163" s="1" t="str">
        <f>IF(W_カレンダー[[#This Row],[月]]&lt;=3,"Q4",IF(W_カレンダー[[#This Row],[月]]&lt;=6,"Q1",IF(W_カレンダー[[#This Row],[月]]&lt;=9,"Q2","Q3")))</f>
        <v>Q1</v>
      </c>
    </row>
    <row r="1164" spans="1:5" ht="18" customHeight="1" x14ac:dyDescent="0.25">
      <c r="A1164" s="27">
        <v>46179</v>
      </c>
      <c r="B1164" s="29">
        <f>MONTH(W_カレンダー[[#This Row],[日付]])</f>
        <v>6</v>
      </c>
      <c r="C1164" s="1">
        <f>YEAR(W_カレンダー[[#This Row],[日付]])</f>
        <v>2026</v>
      </c>
      <c r="D1164" s="1">
        <f>IF(W_カレンダー[[#This Row],[月]]&lt;=3,W_カレンダー[[#This Row],[暦年]]-1,W_カレンダー[[#This Row],[暦年]])</f>
        <v>2026</v>
      </c>
      <c r="E1164" s="1" t="str">
        <f>IF(W_カレンダー[[#This Row],[月]]&lt;=3,"Q4",IF(W_カレンダー[[#This Row],[月]]&lt;=6,"Q1",IF(W_カレンダー[[#This Row],[月]]&lt;=9,"Q2","Q3")))</f>
        <v>Q1</v>
      </c>
    </row>
    <row r="1165" spans="1:5" ht="18" customHeight="1" x14ac:dyDescent="0.25">
      <c r="A1165" s="27">
        <v>46180</v>
      </c>
      <c r="B1165" s="29">
        <f>MONTH(W_カレンダー[[#This Row],[日付]])</f>
        <v>6</v>
      </c>
      <c r="C1165" s="1">
        <f>YEAR(W_カレンダー[[#This Row],[日付]])</f>
        <v>2026</v>
      </c>
      <c r="D1165" s="1">
        <f>IF(W_カレンダー[[#This Row],[月]]&lt;=3,W_カレンダー[[#This Row],[暦年]]-1,W_カレンダー[[#This Row],[暦年]])</f>
        <v>2026</v>
      </c>
      <c r="E1165" s="1" t="str">
        <f>IF(W_カレンダー[[#This Row],[月]]&lt;=3,"Q4",IF(W_カレンダー[[#This Row],[月]]&lt;=6,"Q1",IF(W_カレンダー[[#This Row],[月]]&lt;=9,"Q2","Q3")))</f>
        <v>Q1</v>
      </c>
    </row>
    <row r="1166" spans="1:5" ht="18" customHeight="1" x14ac:dyDescent="0.25">
      <c r="A1166" s="27">
        <v>46181</v>
      </c>
      <c r="B1166" s="29">
        <f>MONTH(W_カレンダー[[#This Row],[日付]])</f>
        <v>6</v>
      </c>
      <c r="C1166" s="1">
        <f>YEAR(W_カレンダー[[#This Row],[日付]])</f>
        <v>2026</v>
      </c>
      <c r="D1166" s="1">
        <f>IF(W_カレンダー[[#This Row],[月]]&lt;=3,W_カレンダー[[#This Row],[暦年]]-1,W_カレンダー[[#This Row],[暦年]])</f>
        <v>2026</v>
      </c>
      <c r="E1166" s="1" t="str">
        <f>IF(W_カレンダー[[#This Row],[月]]&lt;=3,"Q4",IF(W_カレンダー[[#This Row],[月]]&lt;=6,"Q1",IF(W_カレンダー[[#This Row],[月]]&lt;=9,"Q2","Q3")))</f>
        <v>Q1</v>
      </c>
    </row>
    <row r="1167" spans="1:5" ht="18" customHeight="1" x14ac:dyDescent="0.25">
      <c r="A1167" s="27">
        <v>46182</v>
      </c>
      <c r="B1167" s="29">
        <f>MONTH(W_カレンダー[[#This Row],[日付]])</f>
        <v>6</v>
      </c>
      <c r="C1167" s="1">
        <f>YEAR(W_カレンダー[[#This Row],[日付]])</f>
        <v>2026</v>
      </c>
      <c r="D1167" s="1">
        <f>IF(W_カレンダー[[#This Row],[月]]&lt;=3,W_カレンダー[[#This Row],[暦年]]-1,W_カレンダー[[#This Row],[暦年]])</f>
        <v>2026</v>
      </c>
      <c r="E1167" s="1" t="str">
        <f>IF(W_カレンダー[[#This Row],[月]]&lt;=3,"Q4",IF(W_カレンダー[[#This Row],[月]]&lt;=6,"Q1",IF(W_カレンダー[[#This Row],[月]]&lt;=9,"Q2","Q3")))</f>
        <v>Q1</v>
      </c>
    </row>
    <row r="1168" spans="1:5" ht="18" customHeight="1" x14ac:dyDescent="0.25">
      <c r="A1168" s="27">
        <v>46183</v>
      </c>
      <c r="B1168" s="29">
        <f>MONTH(W_カレンダー[[#This Row],[日付]])</f>
        <v>6</v>
      </c>
      <c r="C1168" s="1">
        <f>YEAR(W_カレンダー[[#This Row],[日付]])</f>
        <v>2026</v>
      </c>
      <c r="D1168" s="1">
        <f>IF(W_カレンダー[[#This Row],[月]]&lt;=3,W_カレンダー[[#This Row],[暦年]]-1,W_カレンダー[[#This Row],[暦年]])</f>
        <v>2026</v>
      </c>
      <c r="E1168" s="1" t="str">
        <f>IF(W_カレンダー[[#This Row],[月]]&lt;=3,"Q4",IF(W_カレンダー[[#This Row],[月]]&lt;=6,"Q1",IF(W_カレンダー[[#This Row],[月]]&lt;=9,"Q2","Q3")))</f>
        <v>Q1</v>
      </c>
    </row>
    <row r="1169" spans="1:5" ht="18" customHeight="1" x14ac:dyDescent="0.25">
      <c r="A1169" s="27">
        <v>46184</v>
      </c>
      <c r="B1169" s="29">
        <f>MONTH(W_カレンダー[[#This Row],[日付]])</f>
        <v>6</v>
      </c>
      <c r="C1169" s="1">
        <f>YEAR(W_カレンダー[[#This Row],[日付]])</f>
        <v>2026</v>
      </c>
      <c r="D1169" s="1">
        <f>IF(W_カレンダー[[#This Row],[月]]&lt;=3,W_カレンダー[[#This Row],[暦年]]-1,W_カレンダー[[#This Row],[暦年]])</f>
        <v>2026</v>
      </c>
      <c r="E1169" s="1" t="str">
        <f>IF(W_カレンダー[[#This Row],[月]]&lt;=3,"Q4",IF(W_カレンダー[[#This Row],[月]]&lt;=6,"Q1",IF(W_カレンダー[[#This Row],[月]]&lt;=9,"Q2","Q3")))</f>
        <v>Q1</v>
      </c>
    </row>
    <row r="1170" spans="1:5" ht="18" customHeight="1" x14ac:dyDescent="0.25">
      <c r="A1170" s="27">
        <v>46185</v>
      </c>
      <c r="B1170" s="29">
        <f>MONTH(W_カレンダー[[#This Row],[日付]])</f>
        <v>6</v>
      </c>
      <c r="C1170" s="1">
        <f>YEAR(W_カレンダー[[#This Row],[日付]])</f>
        <v>2026</v>
      </c>
      <c r="D1170" s="1">
        <f>IF(W_カレンダー[[#This Row],[月]]&lt;=3,W_カレンダー[[#This Row],[暦年]]-1,W_カレンダー[[#This Row],[暦年]])</f>
        <v>2026</v>
      </c>
      <c r="E1170" s="1" t="str">
        <f>IF(W_カレンダー[[#This Row],[月]]&lt;=3,"Q4",IF(W_カレンダー[[#This Row],[月]]&lt;=6,"Q1",IF(W_カレンダー[[#This Row],[月]]&lt;=9,"Q2","Q3")))</f>
        <v>Q1</v>
      </c>
    </row>
    <row r="1171" spans="1:5" ht="18" customHeight="1" x14ac:dyDescent="0.25">
      <c r="A1171" s="27">
        <v>46186</v>
      </c>
      <c r="B1171" s="29">
        <f>MONTH(W_カレンダー[[#This Row],[日付]])</f>
        <v>6</v>
      </c>
      <c r="C1171" s="1">
        <f>YEAR(W_カレンダー[[#This Row],[日付]])</f>
        <v>2026</v>
      </c>
      <c r="D1171" s="1">
        <f>IF(W_カレンダー[[#This Row],[月]]&lt;=3,W_カレンダー[[#This Row],[暦年]]-1,W_カレンダー[[#This Row],[暦年]])</f>
        <v>2026</v>
      </c>
      <c r="E1171" s="1" t="str">
        <f>IF(W_カレンダー[[#This Row],[月]]&lt;=3,"Q4",IF(W_カレンダー[[#This Row],[月]]&lt;=6,"Q1",IF(W_カレンダー[[#This Row],[月]]&lt;=9,"Q2","Q3")))</f>
        <v>Q1</v>
      </c>
    </row>
    <row r="1172" spans="1:5" ht="18" customHeight="1" x14ac:dyDescent="0.25">
      <c r="A1172" s="27">
        <v>46187</v>
      </c>
      <c r="B1172" s="29">
        <f>MONTH(W_カレンダー[[#This Row],[日付]])</f>
        <v>6</v>
      </c>
      <c r="C1172" s="1">
        <f>YEAR(W_カレンダー[[#This Row],[日付]])</f>
        <v>2026</v>
      </c>
      <c r="D1172" s="1">
        <f>IF(W_カレンダー[[#This Row],[月]]&lt;=3,W_カレンダー[[#This Row],[暦年]]-1,W_カレンダー[[#This Row],[暦年]])</f>
        <v>2026</v>
      </c>
      <c r="E1172" s="1" t="str">
        <f>IF(W_カレンダー[[#This Row],[月]]&lt;=3,"Q4",IF(W_カレンダー[[#This Row],[月]]&lt;=6,"Q1",IF(W_カレンダー[[#This Row],[月]]&lt;=9,"Q2","Q3")))</f>
        <v>Q1</v>
      </c>
    </row>
    <row r="1173" spans="1:5" ht="18" customHeight="1" x14ac:dyDescent="0.25">
      <c r="A1173" s="27">
        <v>46188</v>
      </c>
      <c r="B1173" s="29">
        <f>MONTH(W_カレンダー[[#This Row],[日付]])</f>
        <v>6</v>
      </c>
      <c r="C1173" s="1">
        <f>YEAR(W_カレンダー[[#This Row],[日付]])</f>
        <v>2026</v>
      </c>
      <c r="D1173" s="1">
        <f>IF(W_カレンダー[[#This Row],[月]]&lt;=3,W_カレンダー[[#This Row],[暦年]]-1,W_カレンダー[[#This Row],[暦年]])</f>
        <v>2026</v>
      </c>
      <c r="E1173" s="1" t="str">
        <f>IF(W_カレンダー[[#This Row],[月]]&lt;=3,"Q4",IF(W_カレンダー[[#This Row],[月]]&lt;=6,"Q1",IF(W_カレンダー[[#This Row],[月]]&lt;=9,"Q2","Q3")))</f>
        <v>Q1</v>
      </c>
    </row>
    <row r="1174" spans="1:5" ht="18" customHeight="1" x14ac:dyDescent="0.25">
      <c r="A1174" s="27">
        <v>46189</v>
      </c>
      <c r="B1174" s="29">
        <f>MONTH(W_カレンダー[[#This Row],[日付]])</f>
        <v>6</v>
      </c>
      <c r="C1174" s="1">
        <f>YEAR(W_カレンダー[[#This Row],[日付]])</f>
        <v>2026</v>
      </c>
      <c r="D1174" s="1">
        <f>IF(W_カレンダー[[#This Row],[月]]&lt;=3,W_カレンダー[[#This Row],[暦年]]-1,W_カレンダー[[#This Row],[暦年]])</f>
        <v>2026</v>
      </c>
      <c r="E1174" s="1" t="str">
        <f>IF(W_カレンダー[[#This Row],[月]]&lt;=3,"Q4",IF(W_カレンダー[[#This Row],[月]]&lt;=6,"Q1",IF(W_カレンダー[[#This Row],[月]]&lt;=9,"Q2","Q3")))</f>
        <v>Q1</v>
      </c>
    </row>
    <row r="1175" spans="1:5" ht="18" customHeight="1" x14ac:dyDescent="0.25">
      <c r="A1175" s="27">
        <v>46190</v>
      </c>
      <c r="B1175" s="29">
        <f>MONTH(W_カレンダー[[#This Row],[日付]])</f>
        <v>6</v>
      </c>
      <c r="C1175" s="1">
        <f>YEAR(W_カレンダー[[#This Row],[日付]])</f>
        <v>2026</v>
      </c>
      <c r="D1175" s="1">
        <f>IF(W_カレンダー[[#This Row],[月]]&lt;=3,W_カレンダー[[#This Row],[暦年]]-1,W_カレンダー[[#This Row],[暦年]])</f>
        <v>2026</v>
      </c>
      <c r="E1175" s="1" t="str">
        <f>IF(W_カレンダー[[#This Row],[月]]&lt;=3,"Q4",IF(W_カレンダー[[#This Row],[月]]&lt;=6,"Q1",IF(W_カレンダー[[#This Row],[月]]&lt;=9,"Q2","Q3")))</f>
        <v>Q1</v>
      </c>
    </row>
    <row r="1176" spans="1:5" ht="18" customHeight="1" x14ac:dyDescent="0.25">
      <c r="A1176" s="27">
        <v>46191</v>
      </c>
      <c r="B1176" s="29">
        <f>MONTH(W_カレンダー[[#This Row],[日付]])</f>
        <v>6</v>
      </c>
      <c r="C1176" s="1">
        <f>YEAR(W_カレンダー[[#This Row],[日付]])</f>
        <v>2026</v>
      </c>
      <c r="D1176" s="1">
        <f>IF(W_カレンダー[[#This Row],[月]]&lt;=3,W_カレンダー[[#This Row],[暦年]]-1,W_カレンダー[[#This Row],[暦年]])</f>
        <v>2026</v>
      </c>
      <c r="E1176" s="1" t="str">
        <f>IF(W_カレンダー[[#This Row],[月]]&lt;=3,"Q4",IF(W_カレンダー[[#This Row],[月]]&lt;=6,"Q1",IF(W_カレンダー[[#This Row],[月]]&lt;=9,"Q2","Q3")))</f>
        <v>Q1</v>
      </c>
    </row>
    <row r="1177" spans="1:5" ht="18" customHeight="1" x14ac:dyDescent="0.25">
      <c r="A1177" s="27">
        <v>46192</v>
      </c>
      <c r="B1177" s="29">
        <f>MONTH(W_カレンダー[[#This Row],[日付]])</f>
        <v>6</v>
      </c>
      <c r="C1177" s="1">
        <f>YEAR(W_カレンダー[[#This Row],[日付]])</f>
        <v>2026</v>
      </c>
      <c r="D1177" s="1">
        <f>IF(W_カレンダー[[#This Row],[月]]&lt;=3,W_カレンダー[[#This Row],[暦年]]-1,W_カレンダー[[#This Row],[暦年]])</f>
        <v>2026</v>
      </c>
      <c r="E1177" s="1" t="str">
        <f>IF(W_カレンダー[[#This Row],[月]]&lt;=3,"Q4",IF(W_カレンダー[[#This Row],[月]]&lt;=6,"Q1",IF(W_カレンダー[[#This Row],[月]]&lt;=9,"Q2","Q3")))</f>
        <v>Q1</v>
      </c>
    </row>
    <row r="1178" spans="1:5" ht="18" customHeight="1" x14ac:dyDescent="0.25">
      <c r="A1178" s="27">
        <v>46193</v>
      </c>
      <c r="B1178" s="29">
        <f>MONTH(W_カレンダー[[#This Row],[日付]])</f>
        <v>6</v>
      </c>
      <c r="C1178" s="1">
        <f>YEAR(W_カレンダー[[#This Row],[日付]])</f>
        <v>2026</v>
      </c>
      <c r="D1178" s="1">
        <f>IF(W_カレンダー[[#This Row],[月]]&lt;=3,W_カレンダー[[#This Row],[暦年]]-1,W_カレンダー[[#This Row],[暦年]])</f>
        <v>2026</v>
      </c>
      <c r="E1178" s="1" t="str">
        <f>IF(W_カレンダー[[#This Row],[月]]&lt;=3,"Q4",IF(W_カレンダー[[#This Row],[月]]&lt;=6,"Q1",IF(W_カレンダー[[#This Row],[月]]&lt;=9,"Q2","Q3")))</f>
        <v>Q1</v>
      </c>
    </row>
    <row r="1179" spans="1:5" ht="18" customHeight="1" x14ac:dyDescent="0.25">
      <c r="A1179" s="27">
        <v>46194</v>
      </c>
      <c r="B1179" s="29">
        <f>MONTH(W_カレンダー[[#This Row],[日付]])</f>
        <v>6</v>
      </c>
      <c r="C1179" s="1">
        <f>YEAR(W_カレンダー[[#This Row],[日付]])</f>
        <v>2026</v>
      </c>
      <c r="D1179" s="1">
        <f>IF(W_カレンダー[[#This Row],[月]]&lt;=3,W_カレンダー[[#This Row],[暦年]]-1,W_カレンダー[[#This Row],[暦年]])</f>
        <v>2026</v>
      </c>
      <c r="E1179" s="1" t="str">
        <f>IF(W_カレンダー[[#This Row],[月]]&lt;=3,"Q4",IF(W_カレンダー[[#This Row],[月]]&lt;=6,"Q1",IF(W_カレンダー[[#This Row],[月]]&lt;=9,"Q2","Q3")))</f>
        <v>Q1</v>
      </c>
    </row>
    <row r="1180" spans="1:5" ht="18" customHeight="1" x14ac:dyDescent="0.25">
      <c r="A1180" s="27">
        <v>46195</v>
      </c>
      <c r="B1180" s="29">
        <f>MONTH(W_カレンダー[[#This Row],[日付]])</f>
        <v>6</v>
      </c>
      <c r="C1180" s="1">
        <f>YEAR(W_カレンダー[[#This Row],[日付]])</f>
        <v>2026</v>
      </c>
      <c r="D1180" s="1">
        <f>IF(W_カレンダー[[#This Row],[月]]&lt;=3,W_カレンダー[[#This Row],[暦年]]-1,W_カレンダー[[#This Row],[暦年]])</f>
        <v>2026</v>
      </c>
      <c r="E1180" s="1" t="str">
        <f>IF(W_カレンダー[[#This Row],[月]]&lt;=3,"Q4",IF(W_カレンダー[[#This Row],[月]]&lt;=6,"Q1",IF(W_カレンダー[[#This Row],[月]]&lt;=9,"Q2","Q3")))</f>
        <v>Q1</v>
      </c>
    </row>
    <row r="1181" spans="1:5" ht="18" customHeight="1" x14ac:dyDescent="0.25">
      <c r="A1181" s="27">
        <v>46196</v>
      </c>
      <c r="B1181" s="29">
        <f>MONTH(W_カレンダー[[#This Row],[日付]])</f>
        <v>6</v>
      </c>
      <c r="C1181" s="1">
        <f>YEAR(W_カレンダー[[#This Row],[日付]])</f>
        <v>2026</v>
      </c>
      <c r="D1181" s="1">
        <f>IF(W_カレンダー[[#This Row],[月]]&lt;=3,W_カレンダー[[#This Row],[暦年]]-1,W_カレンダー[[#This Row],[暦年]])</f>
        <v>2026</v>
      </c>
      <c r="E1181" s="1" t="str">
        <f>IF(W_カレンダー[[#This Row],[月]]&lt;=3,"Q4",IF(W_カレンダー[[#This Row],[月]]&lt;=6,"Q1",IF(W_カレンダー[[#This Row],[月]]&lt;=9,"Q2","Q3")))</f>
        <v>Q1</v>
      </c>
    </row>
    <row r="1182" spans="1:5" ht="18" customHeight="1" x14ac:dyDescent="0.25">
      <c r="A1182" s="27">
        <v>46197</v>
      </c>
      <c r="B1182" s="29">
        <f>MONTH(W_カレンダー[[#This Row],[日付]])</f>
        <v>6</v>
      </c>
      <c r="C1182" s="1">
        <f>YEAR(W_カレンダー[[#This Row],[日付]])</f>
        <v>2026</v>
      </c>
      <c r="D1182" s="1">
        <f>IF(W_カレンダー[[#This Row],[月]]&lt;=3,W_カレンダー[[#This Row],[暦年]]-1,W_カレンダー[[#This Row],[暦年]])</f>
        <v>2026</v>
      </c>
      <c r="E1182" s="1" t="str">
        <f>IF(W_カレンダー[[#This Row],[月]]&lt;=3,"Q4",IF(W_カレンダー[[#This Row],[月]]&lt;=6,"Q1",IF(W_カレンダー[[#This Row],[月]]&lt;=9,"Q2","Q3")))</f>
        <v>Q1</v>
      </c>
    </row>
    <row r="1183" spans="1:5" ht="18" customHeight="1" x14ac:dyDescent="0.25">
      <c r="A1183" s="27">
        <v>46198</v>
      </c>
      <c r="B1183" s="29">
        <f>MONTH(W_カレンダー[[#This Row],[日付]])</f>
        <v>6</v>
      </c>
      <c r="C1183" s="1">
        <f>YEAR(W_カレンダー[[#This Row],[日付]])</f>
        <v>2026</v>
      </c>
      <c r="D1183" s="1">
        <f>IF(W_カレンダー[[#This Row],[月]]&lt;=3,W_カレンダー[[#This Row],[暦年]]-1,W_カレンダー[[#This Row],[暦年]])</f>
        <v>2026</v>
      </c>
      <c r="E1183" s="1" t="str">
        <f>IF(W_カレンダー[[#This Row],[月]]&lt;=3,"Q4",IF(W_カレンダー[[#This Row],[月]]&lt;=6,"Q1",IF(W_カレンダー[[#This Row],[月]]&lt;=9,"Q2","Q3")))</f>
        <v>Q1</v>
      </c>
    </row>
    <row r="1184" spans="1:5" ht="18" customHeight="1" x14ac:dyDescent="0.25">
      <c r="A1184" s="27">
        <v>46199</v>
      </c>
      <c r="B1184" s="29">
        <f>MONTH(W_カレンダー[[#This Row],[日付]])</f>
        <v>6</v>
      </c>
      <c r="C1184" s="1">
        <f>YEAR(W_カレンダー[[#This Row],[日付]])</f>
        <v>2026</v>
      </c>
      <c r="D1184" s="1">
        <f>IF(W_カレンダー[[#This Row],[月]]&lt;=3,W_カレンダー[[#This Row],[暦年]]-1,W_カレンダー[[#This Row],[暦年]])</f>
        <v>2026</v>
      </c>
      <c r="E1184" s="1" t="str">
        <f>IF(W_カレンダー[[#This Row],[月]]&lt;=3,"Q4",IF(W_カレンダー[[#This Row],[月]]&lt;=6,"Q1",IF(W_カレンダー[[#This Row],[月]]&lt;=9,"Q2","Q3")))</f>
        <v>Q1</v>
      </c>
    </row>
    <row r="1185" spans="1:5" ht="18" customHeight="1" x14ac:dyDescent="0.25">
      <c r="A1185" s="27">
        <v>46200</v>
      </c>
      <c r="B1185" s="29">
        <f>MONTH(W_カレンダー[[#This Row],[日付]])</f>
        <v>6</v>
      </c>
      <c r="C1185" s="1">
        <f>YEAR(W_カレンダー[[#This Row],[日付]])</f>
        <v>2026</v>
      </c>
      <c r="D1185" s="1">
        <f>IF(W_カレンダー[[#This Row],[月]]&lt;=3,W_カレンダー[[#This Row],[暦年]]-1,W_カレンダー[[#This Row],[暦年]])</f>
        <v>2026</v>
      </c>
      <c r="E1185" s="1" t="str">
        <f>IF(W_カレンダー[[#This Row],[月]]&lt;=3,"Q4",IF(W_カレンダー[[#This Row],[月]]&lt;=6,"Q1",IF(W_カレンダー[[#This Row],[月]]&lt;=9,"Q2","Q3")))</f>
        <v>Q1</v>
      </c>
    </row>
    <row r="1186" spans="1:5" ht="18" customHeight="1" x14ac:dyDescent="0.25">
      <c r="A1186" s="27">
        <v>46201</v>
      </c>
      <c r="B1186" s="29">
        <f>MONTH(W_カレンダー[[#This Row],[日付]])</f>
        <v>6</v>
      </c>
      <c r="C1186" s="1">
        <f>YEAR(W_カレンダー[[#This Row],[日付]])</f>
        <v>2026</v>
      </c>
      <c r="D1186" s="1">
        <f>IF(W_カレンダー[[#This Row],[月]]&lt;=3,W_カレンダー[[#This Row],[暦年]]-1,W_カレンダー[[#This Row],[暦年]])</f>
        <v>2026</v>
      </c>
      <c r="E1186" s="1" t="str">
        <f>IF(W_カレンダー[[#This Row],[月]]&lt;=3,"Q4",IF(W_カレンダー[[#This Row],[月]]&lt;=6,"Q1",IF(W_カレンダー[[#This Row],[月]]&lt;=9,"Q2","Q3")))</f>
        <v>Q1</v>
      </c>
    </row>
    <row r="1187" spans="1:5" ht="18" customHeight="1" x14ac:dyDescent="0.25">
      <c r="A1187" s="27">
        <v>46202</v>
      </c>
      <c r="B1187" s="29">
        <f>MONTH(W_カレンダー[[#This Row],[日付]])</f>
        <v>6</v>
      </c>
      <c r="C1187" s="1">
        <f>YEAR(W_カレンダー[[#This Row],[日付]])</f>
        <v>2026</v>
      </c>
      <c r="D1187" s="1">
        <f>IF(W_カレンダー[[#This Row],[月]]&lt;=3,W_カレンダー[[#This Row],[暦年]]-1,W_カレンダー[[#This Row],[暦年]])</f>
        <v>2026</v>
      </c>
      <c r="E1187" s="1" t="str">
        <f>IF(W_カレンダー[[#This Row],[月]]&lt;=3,"Q4",IF(W_カレンダー[[#This Row],[月]]&lt;=6,"Q1",IF(W_カレンダー[[#This Row],[月]]&lt;=9,"Q2","Q3")))</f>
        <v>Q1</v>
      </c>
    </row>
    <row r="1188" spans="1:5" ht="18" customHeight="1" x14ac:dyDescent="0.25">
      <c r="A1188" s="27">
        <v>46203</v>
      </c>
      <c r="B1188" s="29">
        <f>MONTH(W_カレンダー[[#This Row],[日付]])</f>
        <v>6</v>
      </c>
      <c r="C1188" s="1">
        <f>YEAR(W_カレンダー[[#This Row],[日付]])</f>
        <v>2026</v>
      </c>
      <c r="D1188" s="1">
        <f>IF(W_カレンダー[[#This Row],[月]]&lt;=3,W_カレンダー[[#This Row],[暦年]]-1,W_カレンダー[[#This Row],[暦年]])</f>
        <v>2026</v>
      </c>
      <c r="E1188" s="1" t="str">
        <f>IF(W_カレンダー[[#This Row],[月]]&lt;=3,"Q4",IF(W_カレンダー[[#This Row],[月]]&lt;=6,"Q1",IF(W_カレンダー[[#This Row],[月]]&lt;=9,"Q2","Q3")))</f>
        <v>Q1</v>
      </c>
    </row>
    <row r="1189" spans="1:5" ht="18" customHeight="1" x14ac:dyDescent="0.25">
      <c r="A1189" s="27">
        <v>46204</v>
      </c>
      <c r="B1189" s="29">
        <f>MONTH(W_カレンダー[[#This Row],[日付]])</f>
        <v>7</v>
      </c>
      <c r="C1189" s="1">
        <f>YEAR(W_カレンダー[[#This Row],[日付]])</f>
        <v>2026</v>
      </c>
      <c r="D1189" s="1">
        <f>IF(W_カレンダー[[#This Row],[月]]&lt;=3,W_カレンダー[[#This Row],[暦年]]-1,W_カレンダー[[#This Row],[暦年]])</f>
        <v>2026</v>
      </c>
      <c r="E1189" s="1" t="str">
        <f>IF(W_カレンダー[[#This Row],[月]]&lt;=3,"Q4",IF(W_カレンダー[[#This Row],[月]]&lt;=6,"Q1",IF(W_カレンダー[[#This Row],[月]]&lt;=9,"Q2","Q3")))</f>
        <v>Q2</v>
      </c>
    </row>
    <row r="1190" spans="1:5" ht="18" customHeight="1" x14ac:dyDescent="0.25">
      <c r="A1190" s="27">
        <v>46205</v>
      </c>
      <c r="B1190" s="29">
        <f>MONTH(W_カレンダー[[#This Row],[日付]])</f>
        <v>7</v>
      </c>
      <c r="C1190" s="1">
        <f>YEAR(W_カレンダー[[#This Row],[日付]])</f>
        <v>2026</v>
      </c>
      <c r="D1190" s="1">
        <f>IF(W_カレンダー[[#This Row],[月]]&lt;=3,W_カレンダー[[#This Row],[暦年]]-1,W_カレンダー[[#This Row],[暦年]])</f>
        <v>2026</v>
      </c>
      <c r="E1190" s="1" t="str">
        <f>IF(W_カレンダー[[#This Row],[月]]&lt;=3,"Q4",IF(W_カレンダー[[#This Row],[月]]&lt;=6,"Q1",IF(W_カレンダー[[#This Row],[月]]&lt;=9,"Q2","Q3")))</f>
        <v>Q2</v>
      </c>
    </row>
    <row r="1191" spans="1:5" ht="18" customHeight="1" x14ac:dyDescent="0.25">
      <c r="A1191" s="27">
        <v>46206</v>
      </c>
      <c r="B1191" s="29">
        <f>MONTH(W_カレンダー[[#This Row],[日付]])</f>
        <v>7</v>
      </c>
      <c r="C1191" s="1">
        <f>YEAR(W_カレンダー[[#This Row],[日付]])</f>
        <v>2026</v>
      </c>
      <c r="D1191" s="1">
        <f>IF(W_カレンダー[[#This Row],[月]]&lt;=3,W_カレンダー[[#This Row],[暦年]]-1,W_カレンダー[[#This Row],[暦年]])</f>
        <v>2026</v>
      </c>
      <c r="E1191" s="1" t="str">
        <f>IF(W_カレンダー[[#This Row],[月]]&lt;=3,"Q4",IF(W_カレンダー[[#This Row],[月]]&lt;=6,"Q1",IF(W_カレンダー[[#This Row],[月]]&lt;=9,"Q2","Q3")))</f>
        <v>Q2</v>
      </c>
    </row>
    <row r="1192" spans="1:5" ht="18" customHeight="1" x14ac:dyDescent="0.25">
      <c r="A1192" s="27">
        <v>46207</v>
      </c>
      <c r="B1192" s="29">
        <f>MONTH(W_カレンダー[[#This Row],[日付]])</f>
        <v>7</v>
      </c>
      <c r="C1192" s="1">
        <f>YEAR(W_カレンダー[[#This Row],[日付]])</f>
        <v>2026</v>
      </c>
      <c r="D1192" s="1">
        <f>IF(W_カレンダー[[#This Row],[月]]&lt;=3,W_カレンダー[[#This Row],[暦年]]-1,W_カレンダー[[#This Row],[暦年]])</f>
        <v>2026</v>
      </c>
      <c r="E1192" s="1" t="str">
        <f>IF(W_カレンダー[[#This Row],[月]]&lt;=3,"Q4",IF(W_カレンダー[[#This Row],[月]]&lt;=6,"Q1",IF(W_カレンダー[[#This Row],[月]]&lt;=9,"Q2","Q3")))</f>
        <v>Q2</v>
      </c>
    </row>
    <row r="1193" spans="1:5" ht="18" customHeight="1" x14ac:dyDescent="0.25">
      <c r="A1193" s="27">
        <v>46208</v>
      </c>
      <c r="B1193" s="29">
        <f>MONTH(W_カレンダー[[#This Row],[日付]])</f>
        <v>7</v>
      </c>
      <c r="C1193" s="1">
        <f>YEAR(W_カレンダー[[#This Row],[日付]])</f>
        <v>2026</v>
      </c>
      <c r="D1193" s="1">
        <f>IF(W_カレンダー[[#This Row],[月]]&lt;=3,W_カレンダー[[#This Row],[暦年]]-1,W_カレンダー[[#This Row],[暦年]])</f>
        <v>2026</v>
      </c>
      <c r="E1193" s="1" t="str">
        <f>IF(W_カレンダー[[#This Row],[月]]&lt;=3,"Q4",IF(W_カレンダー[[#This Row],[月]]&lt;=6,"Q1",IF(W_カレンダー[[#This Row],[月]]&lt;=9,"Q2","Q3")))</f>
        <v>Q2</v>
      </c>
    </row>
    <row r="1194" spans="1:5" ht="18" customHeight="1" x14ac:dyDescent="0.25">
      <c r="A1194" s="27">
        <v>46209</v>
      </c>
      <c r="B1194" s="29">
        <f>MONTH(W_カレンダー[[#This Row],[日付]])</f>
        <v>7</v>
      </c>
      <c r="C1194" s="1">
        <f>YEAR(W_カレンダー[[#This Row],[日付]])</f>
        <v>2026</v>
      </c>
      <c r="D1194" s="1">
        <f>IF(W_カレンダー[[#This Row],[月]]&lt;=3,W_カレンダー[[#This Row],[暦年]]-1,W_カレンダー[[#This Row],[暦年]])</f>
        <v>2026</v>
      </c>
      <c r="E1194" s="1" t="str">
        <f>IF(W_カレンダー[[#This Row],[月]]&lt;=3,"Q4",IF(W_カレンダー[[#This Row],[月]]&lt;=6,"Q1",IF(W_カレンダー[[#This Row],[月]]&lt;=9,"Q2","Q3")))</f>
        <v>Q2</v>
      </c>
    </row>
    <row r="1195" spans="1:5" ht="18" customHeight="1" x14ac:dyDescent="0.25">
      <c r="A1195" s="27">
        <v>46210</v>
      </c>
      <c r="B1195" s="29">
        <f>MONTH(W_カレンダー[[#This Row],[日付]])</f>
        <v>7</v>
      </c>
      <c r="C1195" s="1">
        <f>YEAR(W_カレンダー[[#This Row],[日付]])</f>
        <v>2026</v>
      </c>
      <c r="D1195" s="1">
        <f>IF(W_カレンダー[[#This Row],[月]]&lt;=3,W_カレンダー[[#This Row],[暦年]]-1,W_カレンダー[[#This Row],[暦年]])</f>
        <v>2026</v>
      </c>
      <c r="E1195" s="1" t="str">
        <f>IF(W_カレンダー[[#This Row],[月]]&lt;=3,"Q4",IF(W_カレンダー[[#This Row],[月]]&lt;=6,"Q1",IF(W_カレンダー[[#This Row],[月]]&lt;=9,"Q2","Q3")))</f>
        <v>Q2</v>
      </c>
    </row>
    <row r="1196" spans="1:5" ht="18" customHeight="1" x14ac:dyDescent="0.25">
      <c r="A1196" s="27">
        <v>46211</v>
      </c>
      <c r="B1196" s="29">
        <f>MONTH(W_カレンダー[[#This Row],[日付]])</f>
        <v>7</v>
      </c>
      <c r="C1196" s="1">
        <f>YEAR(W_カレンダー[[#This Row],[日付]])</f>
        <v>2026</v>
      </c>
      <c r="D1196" s="1">
        <f>IF(W_カレンダー[[#This Row],[月]]&lt;=3,W_カレンダー[[#This Row],[暦年]]-1,W_カレンダー[[#This Row],[暦年]])</f>
        <v>2026</v>
      </c>
      <c r="E1196" s="1" t="str">
        <f>IF(W_カレンダー[[#This Row],[月]]&lt;=3,"Q4",IF(W_カレンダー[[#This Row],[月]]&lt;=6,"Q1",IF(W_カレンダー[[#This Row],[月]]&lt;=9,"Q2","Q3")))</f>
        <v>Q2</v>
      </c>
    </row>
    <row r="1197" spans="1:5" ht="18" customHeight="1" x14ac:dyDescent="0.25">
      <c r="A1197" s="27">
        <v>46212</v>
      </c>
      <c r="B1197" s="29">
        <f>MONTH(W_カレンダー[[#This Row],[日付]])</f>
        <v>7</v>
      </c>
      <c r="C1197" s="1">
        <f>YEAR(W_カレンダー[[#This Row],[日付]])</f>
        <v>2026</v>
      </c>
      <c r="D1197" s="1">
        <f>IF(W_カレンダー[[#This Row],[月]]&lt;=3,W_カレンダー[[#This Row],[暦年]]-1,W_カレンダー[[#This Row],[暦年]])</f>
        <v>2026</v>
      </c>
      <c r="E1197" s="1" t="str">
        <f>IF(W_カレンダー[[#This Row],[月]]&lt;=3,"Q4",IF(W_カレンダー[[#This Row],[月]]&lt;=6,"Q1",IF(W_カレンダー[[#This Row],[月]]&lt;=9,"Q2","Q3")))</f>
        <v>Q2</v>
      </c>
    </row>
    <row r="1198" spans="1:5" ht="18" customHeight="1" x14ac:dyDescent="0.25">
      <c r="A1198" s="27">
        <v>46213</v>
      </c>
      <c r="B1198" s="29">
        <f>MONTH(W_カレンダー[[#This Row],[日付]])</f>
        <v>7</v>
      </c>
      <c r="C1198" s="1">
        <f>YEAR(W_カレンダー[[#This Row],[日付]])</f>
        <v>2026</v>
      </c>
      <c r="D1198" s="1">
        <f>IF(W_カレンダー[[#This Row],[月]]&lt;=3,W_カレンダー[[#This Row],[暦年]]-1,W_カレンダー[[#This Row],[暦年]])</f>
        <v>2026</v>
      </c>
      <c r="E1198" s="1" t="str">
        <f>IF(W_カレンダー[[#This Row],[月]]&lt;=3,"Q4",IF(W_カレンダー[[#This Row],[月]]&lt;=6,"Q1",IF(W_カレンダー[[#This Row],[月]]&lt;=9,"Q2","Q3")))</f>
        <v>Q2</v>
      </c>
    </row>
    <row r="1199" spans="1:5" ht="18" customHeight="1" x14ac:dyDescent="0.25">
      <c r="A1199" s="27">
        <v>46214</v>
      </c>
      <c r="B1199" s="29">
        <f>MONTH(W_カレンダー[[#This Row],[日付]])</f>
        <v>7</v>
      </c>
      <c r="C1199" s="1">
        <f>YEAR(W_カレンダー[[#This Row],[日付]])</f>
        <v>2026</v>
      </c>
      <c r="D1199" s="1">
        <f>IF(W_カレンダー[[#This Row],[月]]&lt;=3,W_カレンダー[[#This Row],[暦年]]-1,W_カレンダー[[#This Row],[暦年]])</f>
        <v>2026</v>
      </c>
      <c r="E1199" s="1" t="str">
        <f>IF(W_カレンダー[[#This Row],[月]]&lt;=3,"Q4",IF(W_カレンダー[[#This Row],[月]]&lt;=6,"Q1",IF(W_カレンダー[[#This Row],[月]]&lt;=9,"Q2","Q3")))</f>
        <v>Q2</v>
      </c>
    </row>
    <row r="1200" spans="1:5" ht="18" customHeight="1" x14ac:dyDescent="0.25">
      <c r="A1200" s="27">
        <v>46215</v>
      </c>
      <c r="B1200" s="29">
        <f>MONTH(W_カレンダー[[#This Row],[日付]])</f>
        <v>7</v>
      </c>
      <c r="C1200" s="1">
        <f>YEAR(W_カレンダー[[#This Row],[日付]])</f>
        <v>2026</v>
      </c>
      <c r="D1200" s="1">
        <f>IF(W_カレンダー[[#This Row],[月]]&lt;=3,W_カレンダー[[#This Row],[暦年]]-1,W_カレンダー[[#This Row],[暦年]])</f>
        <v>2026</v>
      </c>
      <c r="E1200" s="1" t="str">
        <f>IF(W_カレンダー[[#This Row],[月]]&lt;=3,"Q4",IF(W_カレンダー[[#This Row],[月]]&lt;=6,"Q1",IF(W_カレンダー[[#This Row],[月]]&lt;=9,"Q2","Q3")))</f>
        <v>Q2</v>
      </c>
    </row>
    <row r="1201" spans="1:5" ht="18" customHeight="1" x14ac:dyDescent="0.25">
      <c r="A1201" s="27">
        <v>46216</v>
      </c>
      <c r="B1201" s="29">
        <f>MONTH(W_カレンダー[[#This Row],[日付]])</f>
        <v>7</v>
      </c>
      <c r="C1201" s="1">
        <f>YEAR(W_カレンダー[[#This Row],[日付]])</f>
        <v>2026</v>
      </c>
      <c r="D1201" s="1">
        <f>IF(W_カレンダー[[#This Row],[月]]&lt;=3,W_カレンダー[[#This Row],[暦年]]-1,W_カレンダー[[#This Row],[暦年]])</f>
        <v>2026</v>
      </c>
      <c r="E1201" s="1" t="str">
        <f>IF(W_カレンダー[[#This Row],[月]]&lt;=3,"Q4",IF(W_カレンダー[[#This Row],[月]]&lt;=6,"Q1",IF(W_カレンダー[[#This Row],[月]]&lt;=9,"Q2","Q3")))</f>
        <v>Q2</v>
      </c>
    </row>
    <row r="1202" spans="1:5" ht="18" customHeight="1" x14ac:dyDescent="0.25">
      <c r="A1202" s="27">
        <v>46217</v>
      </c>
      <c r="B1202" s="29">
        <f>MONTH(W_カレンダー[[#This Row],[日付]])</f>
        <v>7</v>
      </c>
      <c r="C1202" s="1">
        <f>YEAR(W_カレンダー[[#This Row],[日付]])</f>
        <v>2026</v>
      </c>
      <c r="D1202" s="1">
        <f>IF(W_カレンダー[[#This Row],[月]]&lt;=3,W_カレンダー[[#This Row],[暦年]]-1,W_カレンダー[[#This Row],[暦年]])</f>
        <v>2026</v>
      </c>
      <c r="E1202" s="1" t="str">
        <f>IF(W_カレンダー[[#This Row],[月]]&lt;=3,"Q4",IF(W_カレンダー[[#This Row],[月]]&lt;=6,"Q1",IF(W_カレンダー[[#This Row],[月]]&lt;=9,"Q2","Q3")))</f>
        <v>Q2</v>
      </c>
    </row>
    <row r="1203" spans="1:5" ht="18" customHeight="1" x14ac:dyDescent="0.25">
      <c r="A1203" s="27">
        <v>46218</v>
      </c>
      <c r="B1203" s="29">
        <f>MONTH(W_カレンダー[[#This Row],[日付]])</f>
        <v>7</v>
      </c>
      <c r="C1203" s="1">
        <f>YEAR(W_カレンダー[[#This Row],[日付]])</f>
        <v>2026</v>
      </c>
      <c r="D1203" s="1">
        <f>IF(W_カレンダー[[#This Row],[月]]&lt;=3,W_カレンダー[[#This Row],[暦年]]-1,W_カレンダー[[#This Row],[暦年]])</f>
        <v>2026</v>
      </c>
      <c r="E1203" s="1" t="str">
        <f>IF(W_カレンダー[[#This Row],[月]]&lt;=3,"Q4",IF(W_カレンダー[[#This Row],[月]]&lt;=6,"Q1",IF(W_カレンダー[[#This Row],[月]]&lt;=9,"Q2","Q3")))</f>
        <v>Q2</v>
      </c>
    </row>
    <row r="1204" spans="1:5" ht="18" customHeight="1" x14ac:dyDescent="0.25">
      <c r="A1204" s="27">
        <v>46219</v>
      </c>
      <c r="B1204" s="29">
        <f>MONTH(W_カレンダー[[#This Row],[日付]])</f>
        <v>7</v>
      </c>
      <c r="C1204" s="1">
        <f>YEAR(W_カレンダー[[#This Row],[日付]])</f>
        <v>2026</v>
      </c>
      <c r="D1204" s="1">
        <f>IF(W_カレンダー[[#This Row],[月]]&lt;=3,W_カレンダー[[#This Row],[暦年]]-1,W_カレンダー[[#This Row],[暦年]])</f>
        <v>2026</v>
      </c>
      <c r="E1204" s="1" t="str">
        <f>IF(W_カレンダー[[#This Row],[月]]&lt;=3,"Q4",IF(W_カレンダー[[#This Row],[月]]&lt;=6,"Q1",IF(W_カレンダー[[#This Row],[月]]&lt;=9,"Q2","Q3")))</f>
        <v>Q2</v>
      </c>
    </row>
    <row r="1205" spans="1:5" ht="18" customHeight="1" x14ac:dyDescent="0.25">
      <c r="A1205" s="27">
        <v>46220</v>
      </c>
      <c r="B1205" s="29">
        <f>MONTH(W_カレンダー[[#This Row],[日付]])</f>
        <v>7</v>
      </c>
      <c r="C1205" s="1">
        <f>YEAR(W_カレンダー[[#This Row],[日付]])</f>
        <v>2026</v>
      </c>
      <c r="D1205" s="1">
        <f>IF(W_カレンダー[[#This Row],[月]]&lt;=3,W_カレンダー[[#This Row],[暦年]]-1,W_カレンダー[[#This Row],[暦年]])</f>
        <v>2026</v>
      </c>
      <c r="E1205" s="1" t="str">
        <f>IF(W_カレンダー[[#This Row],[月]]&lt;=3,"Q4",IF(W_カレンダー[[#This Row],[月]]&lt;=6,"Q1",IF(W_カレンダー[[#This Row],[月]]&lt;=9,"Q2","Q3")))</f>
        <v>Q2</v>
      </c>
    </row>
    <row r="1206" spans="1:5" ht="18" customHeight="1" x14ac:dyDescent="0.25">
      <c r="A1206" s="27">
        <v>46221</v>
      </c>
      <c r="B1206" s="29">
        <f>MONTH(W_カレンダー[[#This Row],[日付]])</f>
        <v>7</v>
      </c>
      <c r="C1206" s="1">
        <f>YEAR(W_カレンダー[[#This Row],[日付]])</f>
        <v>2026</v>
      </c>
      <c r="D1206" s="1">
        <f>IF(W_カレンダー[[#This Row],[月]]&lt;=3,W_カレンダー[[#This Row],[暦年]]-1,W_カレンダー[[#This Row],[暦年]])</f>
        <v>2026</v>
      </c>
      <c r="E1206" s="1" t="str">
        <f>IF(W_カレンダー[[#This Row],[月]]&lt;=3,"Q4",IF(W_カレンダー[[#This Row],[月]]&lt;=6,"Q1",IF(W_カレンダー[[#This Row],[月]]&lt;=9,"Q2","Q3")))</f>
        <v>Q2</v>
      </c>
    </row>
    <row r="1207" spans="1:5" ht="18" customHeight="1" x14ac:dyDescent="0.25">
      <c r="A1207" s="27">
        <v>46222</v>
      </c>
      <c r="B1207" s="29">
        <f>MONTH(W_カレンダー[[#This Row],[日付]])</f>
        <v>7</v>
      </c>
      <c r="C1207" s="1">
        <f>YEAR(W_カレンダー[[#This Row],[日付]])</f>
        <v>2026</v>
      </c>
      <c r="D1207" s="1">
        <f>IF(W_カレンダー[[#This Row],[月]]&lt;=3,W_カレンダー[[#This Row],[暦年]]-1,W_カレンダー[[#This Row],[暦年]])</f>
        <v>2026</v>
      </c>
      <c r="E1207" s="1" t="str">
        <f>IF(W_カレンダー[[#This Row],[月]]&lt;=3,"Q4",IF(W_カレンダー[[#This Row],[月]]&lt;=6,"Q1",IF(W_カレンダー[[#This Row],[月]]&lt;=9,"Q2","Q3")))</f>
        <v>Q2</v>
      </c>
    </row>
    <row r="1208" spans="1:5" ht="18" customHeight="1" x14ac:dyDescent="0.25">
      <c r="A1208" s="27">
        <v>46223</v>
      </c>
      <c r="B1208" s="29">
        <f>MONTH(W_カレンダー[[#This Row],[日付]])</f>
        <v>7</v>
      </c>
      <c r="C1208" s="1">
        <f>YEAR(W_カレンダー[[#This Row],[日付]])</f>
        <v>2026</v>
      </c>
      <c r="D1208" s="1">
        <f>IF(W_カレンダー[[#This Row],[月]]&lt;=3,W_カレンダー[[#This Row],[暦年]]-1,W_カレンダー[[#This Row],[暦年]])</f>
        <v>2026</v>
      </c>
      <c r="E1208" s="1" t="str">
        <f>IF(W_カレンダー[[#This Row],[月]]&lt;=3,"Q4",IF(W_カレンダー[[#This Row],[月]]&lt;=6,"Q1",IF(W_カレンダー[[#This Row],[月]]&lt;=9,"Q2","Q3")))</f>
        <v>Q2</v>
      </c>
    </row>
    <row r="1209" spans="1:5" ht="18" customHeight="1" x14ac:dyDescent="0.25">
      <c r="A1209" s="27">
        <v>46224</v>
      </c>
      <c r="B1209" s="29">
        <f>MONTH(W_カレンダー[[#This Row],[日付]])</f>
        <v>7</v>
      </c>
      <c r="C1209" s="1">
        <f>YEAR(W_カレンダー[[#This Row],[日付]])</f>
        <v>2026</v>
      </c>
      <c r="D1209" s="1">
        <f>IF(W_カレンダー[[#This Row],[月]]&lt;=3,W_カレンダー[[#This Row],[暦年]]-1,W_カレンダー[[#This Row],[暦年]])</f>
        <v>2026</v>
      </c>
      <c r="E1209" s="1" t="str">
        <f>IF(W_カレンダー[[#This Row],[月]]&lt;=3,"Q4",IF(W_カレンダー[[#This Row],[月]]&lt;=6,"Q1",IF(W_カレンダー[[#This Row],[月]]&lt;=9,"Q2","Q3")))</f>
        <v>Q2</v>
      </c>
    </row>
    <row r="1210" spans="1:5" ht="18" customHeight="1" x14ac:dyDescent="0.25">
      <c r="A1210" s="27">
        <v>46225</v>
      </c>
      <c r="B1210" s="29">
        <f>MONTH(W_カレンダー[[#This Row],[日付]])</f>
        <v>7</v>
      </c>
      <c r="C1210" s="1">
        <f>YEAR(W_カレンダー[[#This Row],[日付]])</f>
        <v>2026</v>
      </c>
      <c r="D1210" s="1">
        <f>IF(W_カレンダー[[#This Row],[月]]&lt;=3,W_カレンダー[[#This Row],[暦年]]-1,W_カレンダー[[#This Row],[暦年]])</f>
        <v>2026</v>
      </c>
      <c r="E1210" s="1" t="str">
        <f>IF(W_カレンダー[[#This Row],[月]]&lt;=3,"Q4",IF(W_カレンダー[[#This Row],[月]]&lt;=6,"Q1",IF(W_カレンダー[[#This Row],[月]]&lt;=9,"Q2","Q3")))</f>
        <v>Q2</v>
      </c>
    </row>
    <row r="1211" spans="1:5" ht="18" customHeight="1" x14ac:dyDescent="0.25">
      <c r="A1211" s="27">
        <v>46226</v>
      </c>
      <c r="B1211" s="29">
        <f>MONTH(W_カレンダー[[#This Row],[日付]])</f>
        <v>7</v>
      </c>
      <c r="C1211" s="1">
        <f>YEAR(W_カレンダー[[#This Row],[日付]])</f>
        <v>2026</v>
      </c>
      <c r="D1211" s="1">
        <f>IF(W_カレンダー[[#This Row],[月]]&lt;=3,W_カレンダー[[#This Row],[暦年]]-1,W_カレンダー[[#This Row],[暦年]])</f>
        <v>2026</v>
      </c>
      <c r="E1211" s="1" t="str">
        <f>IF(W_カレンダー[[#This Row],[月]]&lt;=3,"Q4",IF(W_カレンダー[[#This Row],[月]]&lt;=6,"Q1",IF(W_カレンダー[[#This Row],[月]]&lt;=9,"Q2","Q3")))</f>
        <v>Q2</v>
      </c>
    </row>
    <row r="1212" spans="1:5" ht="18" customHeight="1" x14ac:dyDescent="0.25">
      <c r="A1212" s="27">
        <v>46227</v>
      </c>
      <c r="B1212" s="29">
        <f>MONTH(W_カレンダー[[#This Row],[日付]])</f>
        <v>7</v>
      </c>
      <c r="C1212" s="1">
        <f>YEAR(W_カレンダー[[#This Row],[日付]])</f>
        <v>2026</v>
      </c>
      <c r="D1212" s="1">
        <f>IF(W_カレンダー[[#This Row],[月]]&lt;=3,W_カレンダー[[#This Row],[暦年]]-1,W_カレンダー[[#This Row],[暦年]])</f>
        <v>2026</v>
      </c>
      <c r="E1212" s="1" t="str">
        <f>IF(W_カレンダー[[#This Row],[月]]&lt;=3,"Q4",IF(W_カレンダー[[#This Row],[月]]&lt;=6,"Q1",IF(W_カレンダー[[#This Row],[月]]&lt;=9,"Q2","Q3")))</f>
        <v>Q2</v>
      </c>
    </row>
    <row r="1213" spans="1:5" ht="18" customHeight="1" x14ac:dyDescent="0.25">
      <c r="A1213" s="27">
        <v>46228</v>
      </c>
      <c r="B1213" s="29">
        <f>MONTH(W_カレンダー[[#This Row],[日付]])</f>
        <v>7</v>
      </c>
      <c r="C1213" s="1">
        <f>YEAR(W_カレンダー[[#This Row],[日付]])</f>
        <v>2026</v>
      </c>
      <c r="D1213" s="1">
        <f>IF(W_カレンダー[[#This Row],[月]]&lt;=3,W_カレンダー[[#This Row],[暦年]]-1,W_カレンダー[[#This Row],[暦年]])</f>
        <v>2026</v>
      </c>
      <c r="E1213" s="1" t="str">
        <f>IF(W_カレンダー[[#This Row],[月]]&lt;=3,"Q4",IF(W_カレンダー[[#This Row],[月]]&lt;=6,"Q1",IF(W_カレンダー[[#This Row],[月]]&lt;=9,"Q2","Q3")))</f>
        <v>Q2</v>
      </c>
    </row>
    <row r="1214" spans="1:5" ht="18" customHeight="1" x14ac:dyDescent="0.25">
      <c r="A1214" s="27">
        <v>46229</v>
      </c>
      <c r="B1214" s="29">
        <f>MONTH(W_カレンダー[[#This Row],[日付]])</f>
        <v>7</v>
      </c>
      <c r="C1214" s="1">
        <f>YEAR(W_カレンダー[[#This Row],[日付]])</f>
        <v>2026</v>
      </c>
      <c r="D1214" s="1">
        <f>IF(W_カレンダー[[#This Row],[月]]&lt;=3,W_カレンダー[[#This Row],[暦年]]-1,W_カレンダー[[#This Row],[暦年]])</f>
        <v>2026</v>
      </c>
      <c r="E1214" s="1" t="str">
        <f>IF(W_カレンダー[[#This Row],[月]]&lt;=3,"Q4",IF(W_カレンダー[[#This Row],[月]]&lt;=6,"Q1",IF(W_カレンダー[[#This Row],[月]]&lt;=9,"Q2","Q3")))</f>
        <v>Q2</v>
      </c>
    </row>
    <row r="1215" spans="1:5" ht="18" customHeight="1" x14ac:dyDescent="0.25">
      <c r="A1215" s="27">
        <v>46230</v>
      </c>
      <c r="B1215" s="29">
        <f>MONTH(W_カレンダー[[#This Row],[日付]])</f>
        <v>7</v>
      </c>
      <c r="C1215" s="1">
        <f>YEAR(W_カレンダー[[#This Row],[日付]])</f>
        <v>2026</v>
      </c>
      <c r="D1215" s="1">
        <f>IF(W_カレンダー[[#This Row],[月]]&lt;=3,W_カレンダー[[#This Row],[暦年]]-1,W_カレンダー[[#This Row],[暦年]])</f>
        <v>2026</v>
      </c>
      <c r="E1215" s="1" t="str">
        <f>IF(W_カレンダー[[#This Row],[月]]&lt;=3,"Q4",IF(W_カレンダー[[#This Row],[月]]&lt;=6,"Q1",IF(W_カレンダー[[#This Row],[月]]&lt;=9,"Q2","Q3")))</f>
        <v>Q2</v>
      </c>
    </row>
    <row r="1216" spans="1:5" ht="18" customHeight="1" x14ac:dyDescent="0.25">
      <c r="A1216" s="27">
        <v>46231</v>
      </c>
      <c r="B1216" s="29">
        <f>MONTH(W_カレンダー[[#This Row],[日付]])</f>
        <v>7</v>
      </c>
      <c r="C1216" s="1">
        <f>YEAR(W_カレンダー[[#This Row],[日付]])</f>
        <v>2026</v>
      </c>
      <c r="D1216" s="1">
        <f>IF(W_カレンダー[[#This Row],[月]]&lt;=3,W_カレンダー[[#This Row],[暦年]]-1,W_カレンダー[[#This Row],[暦年]])</f>
        <v>2026</v>
      </c>
      <c r="E1216" s="1" t="str">
        <f>IF(W_カレンダー[[#This Row],[月]]&lt;=3,"Q4",IF(W_カレンダー[[#This Row],[月]]&lt;=6,"Q1",IF(W_カレンダー[[#This Row],[月]]&lt;=9,"Q2","Q3")))</f>
        <v>Q2</v>
      </c>
    </row>
    <row r="1217" spans="1:5" ht="18" customHeight="1" x14ac:dyDescent="0.25">
      <c r="A1217" s="27">
        <v>46232</v>
      </c>
      <c r="B1217" s="29">
        <f>MONTH(W_カレンダー[[#This Row],[日付]])</f>
        <v>7</v>
      </c>
      <c r="C1217" s="1">
        <f>YEAR(W_カレンダー[[#This Row],[日付]])</f>
        <v>2026</v>
      </c>
      <c r="D1217" s="1">
        <f>IF(W_カレンダー[[#This Row],[月]]&lt;=3,W_カレンダー[[#This Row],[暦年]]-1,W_カレンダー[[#This Row],[暦年]])</f>
        <v>2026</v>
      </c>
      <c r="E1217" s="1" t="str">
        <f>IF(W_カレンダー[[#This Row],[月]]&lt;=3,"Q4",IF(W_カレンダー[[#This Row],[月]]&lt;=6,"Q1",IF(W_カレンダー[[#This Row],[月]]&lt;=9,"Q2","Q3")))</f>
        <v>Q2</v>
      </c>
    </row>
    <row r="1218" spans="1:5" ht="18" customHeight="1" x14ac:dyDescent="0.25">
      <c r="A1218" s="27">
        <v>46233</v>
      </c>
      <c r="B1218" s="29">
        <f>MONTH(W_カレンダー[[#This Row],[日付]])</f>
        <v>7</v>
      </c>
      <c r="C1218" s="1">
        <f>YEAR(W_カレンダー[[#This Row],[日付]])</f>
        <v>2026</v>
      </c>
      <c r="D1218" s="1">
        <f>IF(W_カレンダー[[#This Row],[月]]&lt;=3,W_カレンダー[[#This Row],[暦年]]-1,W_カレンダー[[#This Row],[暦年]])</f>
        <v>2026</v>
      </c>
      <c r="E1218" s="1" t="str">
        <f>IF(W_カレンダー[[#This Row],[月]]&lt;=3,"Q4",IF(W_カレンダー[[#This Row],[月]]&lt;=6,"Q1",IF(W_カレンダー[[#This Row],[月]]&lt;=9,"Q2","Q3")))</f>
        <v>Q2</v>
      </c>
    </row>
    <row r="1219" spans="1:5" ht="18" customHeight="1" x14ac:dyDescent="0.25">
      <c r="A1219" s="27">
        <v>46234</v>
      </c>
      <c r="B1219" s="29">
        <f>MONTH(W_カレンダー[[#This Row],[日付]])</f>
        <v>7</v>
      </c>
      <c r="C1219" s="1">
        <f>YEAR(W_カレンダー[[#This Row],[日付]])</f>
        <v>2026</v>
      </c>
      <c r="D1219" s="1">
        <f>IF(W_カレンダー[[#This Row],[月]]&lt;=3,W_カレンダー[[#This Row],[暦年]]-1,W_カレンダー[[#This Row],[暦年]])</f>
        <v>2026</v>
      </c>
      <c r="E1219" s="1" t="str">
        <f>IF(W_カレンダー[[#This Row],[月]]&lt;=3,"Q4",IF(W_カレンダー[[#This Row],[月]]&lt;=6,"Q1",IF(W_カレンダー[[#This Row],[月]]&lt;=9,"Q2","Q3")))</f>
        <v>Q2</v>
      </c>
    </row>
    <row r="1220" spans="1:5" ht="18" customHeight="1" x14ac:dyDescent="0.25">
      <c r="A1220" s="27">
        <v>46235</v>
      </c>
      <c r="B1220" s="29">
        <f>MONTH(W_カレンダー[[#This Row],[日付]])</f>
        <v>8</v>
      </c>
      <c r="C1220" s="1">
        <f>YEAR(W_カレンダー[[#This Row],[日付]])</f>
        <v>2026</v>
      </c>
      <c r="D1220" s="1">
        <f>IF(W_カレンダー[[#This Row],[月]]&lt;=3,W_カレンダー[[#This Row],[暦年]]-1,W_カレンダー[[#This Row],[暦年]])</f>
        <v>2026</v>
      </c>
      <c r="E1220" s="1" t="str">
        <f>IF(W_カレンダー[[#This Row],[月]]&lt;=3,"Q4",IF(W_カレンダー[[#This Row],[月]]&lt;=6,"Q1",IF(W_カレンダー[[#This Row],[月]]&lt;=9,"Q2","Q3")))</f>
        <v>Q2</v>
      </c>
    </row>
    <row r="1221" spans="1:5" ht="18" customHeight="1" x14ac:dyDescent="0.25">
      <c r="A1221" s="27">
        <v>46236</v>
      </c>
      <c r="B1221" s="29">
        <f>MONTH(W_カレンダー[[#This Row],[日付]])</f>
        <v>8</v>
      </c>
      <c r="C1221" s="1">
        <f>YEAR(W_カレンダー[[#This Row],[日付]])</f>
        <v>2026</v>
      </c>
      <c r="D1221" s="1">
        <f>IF(W_カレンダー[[#This Row],[月]]&lt;=3,W_カレンダー[[#This Row],[暦年]]-1,W_カレンダー[[#This Row],[暦年]])</f>
        <v>2026</v>
      </c>
      <c r="E1221" s="1" t="str">
        <f>IF(W_カレンダー[[#This Row],[月]]&lt;=3,"Q4",IF(W_カレンダー[[#This Row],[月]]&lt;=6,"Q1",IF(W_カレンダー[[#This Row],[月]]&lt;=9,"Q2","Q3")))</f>
        <v>Q2</v>
      </c>
    </row>
    <row r="1222" spans="1:5" ht="18" customHeight="1" x14ac:dyDescent="0.25">
      <c r="A1222" s="27">
        <v>46237</v>
      </c>
      <c r="B1222" s="29">
        <f>MONTH(W_カレンダー[[#This Row],[日付]])</f>
        <v>8</v>
      </c>
      <c r="C1222" s="1">
        <f>YEAR(W_カレンダー[[#This Row],[日付]])</f>
        <v>2026</v>
      </c>
      <c r="D1222" s="1">
        <f>IF(W_カレンダー[[#This Row],[月]]&lt;=3,W_カレンダー[[#This Row],[暦年]]-1,W_カレンダー[[#This Row],[暦年]])</f>
        <v>2026</v>
      </c>
      <c r="E1222" s="1" t="str">
        <f>IF(W_カレンダー[[#This Row],[月]]&lt;=3,"Q4",IF(W_カレンダー[[#This Row],[月]]&lt;=6,"Q1",IF(W_カレンダー[[#This Row],[月]]&lt;=9,"Q2","Q3")))</f>
        <v>Q2</v>
      </c>
    </row>
    <row r="1223" spans="1:5" ht="18" customHeight="1" x14ac:dyDescent="0.25">
      <c r="A1223" s="27">
        <v>46238</v>
      </c>
      <c r="B1223" s="29">
        <f>MONTH(W_カレンダー[[#This Row],[日付]])</f>
        <v>8</v>
      </c>
      <c r="C1223" s="1">
        <f>YEAR(W_カレンダー[[#This Row],[日付]])</f>
        <v>2026</v>
      </c>
      <c r="D1223" s="1">
        <f>IF(W_カレンダー[[#This Row],[月]]&lt;=3,W_カレンダー[[#This Row],[暦年]]-1,W_カレンダー[[#This Row],[暦年]])</f>
        <v>2026</v>
      </c>
      <c r="E1223" s="1" t="str">
        <f>IF(W_カレンダー[[#This Row],[月]]&lt;=3,"Q4",IF(W_カレンダー[[#This Row],[月]]&lt;=6,"Q1",IF(W_カレンダー[[#This Row],[月]]&lt;=9,"Q2","Q3")))</f>
        <v>Q2</v>
      </c>
    </row>
    <row r="1224" spans="1:5" ht="18" customHeight="1" x14ac:dyDescent="0.25">
      <c r="A1224" s="27">
        <v>46239</v>
      </c>
      <c r="B1224" s="29">
        <f>MONTH(W_カレンダー[[#This Row],[日付]])</f>
        <v>8</v>
      </c>
      <c r="C1224" s="1">
        <f>YEAR(W_カレンダー[[#This Row],[日付]])</f>
        <v>2026</v>
      </c>
      <c r="D1224" s="1">
        <f>IF(W_カレンダー[[#This Row],[月]]&lt;=3,W_カレンダー[[#This Row],[暦年]]-1,W_カレンダー[[#This Row],[暦年]])</f>
        <v>2026</v>
      </c>
      <c r="E1224" s="1" t="str">
        <f>IF(W_カレンダー[[#This Row],[月]]&lt;=3,"Q4",IF(W_カレンダー[[#This Row],[月]]&lt;=6,"Q1",IF(W_カレンダー[[#This Row],[月]]&lt;=9,"Q2","Q3")))</f>
        <v>Q2</v>
      </c>
    </row>
    <row r="1225" spans="1:5" ht="18" customHeight="1" x14ac:dyDescent="0.25">
      <c r="A1225" s="27">
        <v>46240</v>
      </c>
      <c r="B1225" s="29">
        <f>MONTH(W_カレンダー[[#This Row],[日付]])</f>
        <v>8</v>
      </c>
      <c r="C1225" s="1">
        <f>YEAR(W_カレンダー[[#This Row],[日付]])</f>
        <v>2026</v>
      </c>
      <c r="D1225" s="1">
        <f>IF(W_カレンダー[[#This Row],[月]]&lt;=3,W_カレンダー[[#This Row],[暦年]]-1,W_カレンダー[[#This Row],[暦年]])</f>
        <v>2026</v>
      </c>
      <c r="E1225" s="1" t="str">
        <f>IF(W_カレンダー[[#This Row],[月]]&lt;=3,"Q4",IF(W_カレンダー[[#This Row],[月]]&lt;=6,"Q1",IF(W_カレンダー[[#This Row],[月]]&lt;=9,"Q2","Q3")))</f>
        <v>Q2</v>
      </c>
    </row>
    <row r="1226" spans="1:5" ht="18" customHeight="1" x14ac:dyDescent="0.25">
      <c r="A1226" s="27">
        <v>46241</v>
      </c>
      <c r="B1226" s="29">
        <f>MONTH(W_カレンダー[[#This Row],[日付]])</f>
        <v>8</v>
      </c>
      <c r="C1226" s="1">
        <f>YEAR(W_カレンダー[[#This Row],[日付]])</f>
        <v>2026</v>
      </c>
      <c r="D1226" s="1">
        <f>IF(W_カレンダー[[#This Row],[月]]&lt;=3,W_カレンダー[[#This Row],[暦年]]-1,W_カレンダー[[#This Row],[暦年]])</f>
        <v>2026</v>
      </c>
      <c r="E1226" s="1" t="str">
        <f>IF(W_カレンダー[[#This Row],[月]]&lt;=3,"Q4",IF(W_カレンダー[[#This Row],[月]]&lt;=6,"Q1",IF(W_カレンダー[[#This Row],[月]]&lt;=9,"Q2","Q3")))</f>
        <v>Q2</v>
      </c>
    </row>
    <row r="1227" spans="1:5" ht="18" customHeight="1" x14ac:dyDescent="0.25">
      <c r="A1227" s="27">
        <v>46242</v>
      </c>
      <c r="B1227" s="29">
        <f>MONTH(W_カレンダー[[#This Row],[日付]])</f>
        <v>8</v>
      </c>
      <c r="C1227" s="1">
        <f>YEAR(W_カレンダー[[#This Row],[日付]])</f>
        <v>2026</v>
      </c>
      <c r="D1227" s="1">
        <f>IF(W_カレンダー[[#This Row],[月]]&lt;=3,W_カレンダー[[#This Row],[暦年]]-1,W_カレンダー[[#This Row],[暦年]])</f>
        <v>2026</v>
      </c>
      <c r="E1227" s="1" t="str">
        <f>IF(W_カレンダー[[#This Row],[月]]&lt;=3,"Q4",IF(W_カレンダー[[#This Row],[月]]&lt;=6,"Q1",IF(W_カレンダー[[#This Row],[月]]&lt;=9,"Q2","Q3")))</f>
        <v>Q2</v>
      </c>
    </row>
    <row r="1228" spans="1:5" ht="18" customHeight="1" x14ac:dyDescent="0.25">
      <c r="A1228" s="27">
        <v>46243</v>
      </c>
      <c r="B1228" s="29">
        <f>MONTH(W_カレンダー[[#This Row],[日付]])</f>
        <v>8</v>
      </c>
      <c r="C1228" s="1">
        <f>YEAR(W_カレンダー[[#This Row],[日付]])</f>
        <v>2026</v>
      </c>
      <c r="D1228" s="1">
        <f>IF(W_カレンダー[[#This Row],[月]]&lt;=3,W_カレンダー[[#This Row],[暦年]]-1,W_カレンダー[[#This Row],[暦年]])</f>
        <v>2026</v>
      </c>
      <c r="E1228" s="1" t="str">
        <f>IF(W_カレンダー[[#This Row],[月]]&lt;=3,"Q4",IF(W_カレンダー[[#This Row],[月]]&lt;=6,"Q1",IF(W_カレンダー[[#This Row],[月]]&lt;=9,"Q2","Q3")))</f>
        <v>Q2</v>
      </c>
    </row>
    <row r="1229" spans="1:5" ht="18" customHeight="1" x14ac:dyDescent="0.25">
      <c r="A1229" s="27">
        <v>46244</v>
      </c>
      <c r="B1229" s="29">
        <f>MONTH(W_カレンダー[[#This Row],[日付]])</f>
        <v>8</v>
      </c>
      <c r="C1229" s="1">
        <f>YEAR(W_カレンダー[[#This Row],[日付]])</f>
        <v>2026</v>
      </c>
      <c r="D1229" s="1">
        <f>IF(W_カレンダー[[#This Row],[月]]&lt;=3,W_カレンダー[[#This Row],[暦年]]-1,W_カレンダー[[#This Row],[暦年]])</f>
        <v>2026</v>
      </c>
      <c r="E1229" s="1" t="str">
        <f>IF(W_カレンダー[[#This Row],[月]]&lt;=3,"Q4",IF(W_カレンダー[[#This Row],[月]]&lt;=6,"Q1",IF(W_カレンダー[[#This Row],[月]]&lt;=9,"Q2","Q3")))</f>
        <v>Q2</v>
      </c>
    </row>
    <row r="1230" spans="1:5" ht="18" customHeight="1" x14ac:dyDescent="0.25">
      <c r="A1230" s="27">
        <v>46245</v>
      </c>
      <c r="B1230" s="29">
        <f>MONTH(W_カレンダー[[#This Row],[日付]])</f>
        <v>8</v>
      </c>
      <c r="C1230" s="1">
        <f>YEAR(W_カレンダー[[#This Row],[日付]])</f>
        <v>2026</v>
      </c>
      <c r="D1230" s="1">
        <f>IF(W_カレンダー[[#This Row],[月]]&lt;=3,W_カレンダー[[#This Row],[暦年]]-1,W_カレンダー[[#This Row],[暦年]])</f>
        <v>2026</v>
      </c>
      <c r="E1230" s="1" t="str">
        <f>IF(W_カレンダー[[#This Row],[月]]&lt;=3,"Q4",IF(W_カレンダー[[#This Row],[月]]&lt;=6,"Q1",IF(W_カレンダー[[#This Row],[月]]&lt;=9,"Q2","Q3")))</f>
        <v>Q2</v>
      </c>
    </row>
    <row r="1231" spans="1:5" ht="18" customHeight="1" x14ac:dyDescent="0.25">
      <c r="A1231" s="27">
        <v>46246</v>
      </c>
      <c r="B1231" s="29">
        <f>MONTH(W_カレンダー[[#This Row],[日付]])</f>
        <v>8</v>
      </c>
      <c r="C1231" s="1">
        <f>YEAR(W_カレンダー[[#This Row],[日付]])</f>
        <v>2026</v>
      </c>
      <c r="D1231" s="1">
        <f>IF(W_カレンダー[[#This Row],[月]]&lt;=3,W_カレンダー[[#This Row],[暦年]]-1,W_カレンダー[[#This Row],[暦年]])</f>
        <v>2026</v>
      </c>
      <c r="E1231" s="1" t="str">
        <f>IF(W_カレンダー[[#This Row],[月]]&lt;=3,"Q4",IF(W_カレンダー[[#This Row],[月]]&lt;=6,"Q1",IF(W_カレンダー[[#This Row],[月]]&lt;=9,"Q2","Q3")))</f>
        <v>Q2</v>
      </c>
    </row>
    <row r="1232" spans="1:5" ht="18" customHeight="1" x14ac:dyDescent="0.25">
      <c r="A1232" s="27">
        <v>46247</v>
      </c>
      <c r="B1232" s="29">
        <f>MONTH(W_カレンダー[[#This Row],[日付]])</f>
        <v>8</v>
      </c>
      <c r="C1232" s="1">
        <f>YEAR(W_カレンダー[[#This Row],[日付]])</f>
        <v>2026</v>
      </c>
      <c r="D1232" s="1">
        <f>IF(W_カレンダー[[#This Row],[月]]&lt;=3,W_カレンダー[[#This Row],[暦年]]-1,W_カレンダー[[#This Row],[暦年]])</f>
        <v>2026</v>
      </c>
      <c r="E1232" s="1" t="str">
        <f>IF(W_カレンダー[[#This Row],[月]]&lt;=3,"Q4",IF(W_カレンダー[[#This Row],[月]]&lt;=6,"Q1",IF(W_カレンダー[[#This Row],[月]]&lt;=9,"Q2","Q3")))</f>
        <v>Q2</v>
      </c>
    </row>
    <row r="1233" spans="1:5" ht="18" customHeight="1" x14ac:dyDescent="0.25">
      <c r="A1233" s="27">
        <v>46248</v>
      </c>
      <c r="B1233" s="29">
        <f>MONTH(W_カレンダー[[#This Row],[日付]])</f>
        <v>8</v>
      </c>
      <c r="C1233" s="1">
        <f>YEAR(W_カレンダー[[#This Row],[日付]])</f>
        <v>2026</v>
      </c>
      <c r="D1233" s="1">
        <f>IF(W_カレンダー[[#This Row],[月]]&lt;=3,W_カレンダー[[#This Row],[暦年]]-1,W_カレンダー[[#This Row],[暦年]])</f>
        <v>2026</v>
      </c>
      <c r="E1233" s="1" t="str">
        <f>IF(W_カレンダー[[#This Row],[月]]&lt;=3,"Q4",IF(W_カレンダー[[#This Row],[月]]&lt;=6,"Q1",IF(W_カレンダー[[#This Row],[月]]&lt;=9,"Q2","Q3")))</f>
        <v>Q2</v>
      </c>
    </row>
    <row r="1234" spans="1:5" ht="18" customHeight="1" x14ac:dyDescent="0.25">
      <c r="A1234" s="27">
        <v>46249</v>
      </c>
      <c r="B1234" s="29">
        <f>MONTH(W_カレンダー[[#This Row],[日付]])</f>
        <v>8</v>
      </c>
      <c r="C1234" s="1">
        <f>YEAR(W_カレンダー[[#This Row],[日付]])</f>
        <v>2026</v>
      </c>
      <c r="D1234" s="1">
        <f>IF(W_カレンダー[[#This Row],[月]]&lt;=3,W_カレンダー[[#This Row],[暦年]]-1,W_カレンダー[[#This Row],[暦年]])</f>
        <v>2026</v>
      </c>
      <c r="E1234" s="1" t="str">
        <f>IF(W_カレンダー[[#This Row],[月]]&lt;=3,"Q4",IF(W_カレンダー[[#This Row],[月]]&lt;=6,"Q1",IF(W_カレンダー[[#This Row],[月]]&lt;=9,"Q2","Q3")))</f>
        <v>Q2</v>
      </c>
    </row>
    <row r="1235" spans="1:5" ht="18" customHeight="1" x14ac:dyDescent="0.25">
      <c r="A1235" s="27">
        <v>46250</v>
      </c>
      <c r="B1235" s="29">
        <f>MONTH(W_カレンダー[[#This Row],[日付]])</f>
        <v>8</v>
      </c>
      <c r="C1235" s="1">
        <f>YEAR(W_カレンダー[[#This Row],[日付]])</f>
        <v>2026</v>
      </c>
      <c r="D1235" s="1">
        <f>IF(W_カレンダー[[#This Row],[月]]&lt;=3,W_カレンダー[[#This Row],[暦年]]-1,W_カレンダー[[#This Row],[暦年]])</f>
        <v>2026</v>
      </c>
      <c r="E1235" s="1" t="str">
        <f>IF(W_カレンダー[[#This Row],[月]]&lt;=3,"Q4",IF(W_カレンダー[[#This Row],[月]]&lt;=6,"Q1",IF(W_カレンダー[[#This Row],[月]]&lt;=9,"Q2","Q3")))</f>
        <v>Q2</v>
      </c>
    </row>
    <row r="1236" spans="1:5" ht="18" customHeight="1" x14ac:dyDescent="0.25">
      <c r="A1236" s="27">
        <v>46251</v>
      </c>
      <c r="B1236" s="29">
        <f>MONTH(W_カレンダー[[#This Row],[日付]])</f>
        <v>8</v>
      </c>
      <c r="C1236" s="1">
        <f>YEAR(W_カレンダー[[#This Row],[日付]])</f>
        <v>2026</v>
      </c>
      <c r="D1236" s="1">
        <f>IF(W_カレンダー[[#This Row],[月]]&lt;=3,W_カレンダー[[#This Row],[暦年]]-1,W_カレンダー[[#This Row],[暦年]])</f>
        <v>2026</v>
      </c>
      <c r="E1236" s="1" t="str">
        <f>IF(W_カレンダー[[#This Row],[月]]&lt;=3,"Q4",IF(W_カレンダー[[#This Row],[月]]&lt;=6,"Q1",IF(W_カレンダー[[#This Row],[月]]&lt;=9,"Q2","Q3")))</f>
        <v>Q2</v>
      </c>
    </row>
    <row r="1237" spans="1:5" ht="18" customHeight="1" x14ac:dyDescent="0.25">
      <c r="A1237" s="27">
        <v>46252</v>
      </c>
      <c r="B1237" s="29">
        <f>MONTH(W_カレンダー[[#This Row],[日付]])</f>
        <v>8</v>
      </c>
      <c r="C1237" s="1">
        <f>YEAR(W_カレンダー[[#This Row],[日付]])</f>
        <v>2026</v>
      </c>
      <c r="D1237" s="1">
        <f>IF(W_カレンダー[[#This Row],[月]]&lt;=3,W_カレンダー[[#This Row],[暦年]]-1,W_カレンダー[[#This Row],[暦年]])</f>
        <v>2026</v>
      </c>
      <c r="E1237" s="1" t="str">
        <f>IF(W_カレンダー[[#This Row],[月]]&lt;=3,"Q4",IF(W_カレンダー[[#This Row],[月]]&lt;=6,"Q1",IF(W_カレンダー[[#This Row],[月]]&lt;=9,"Q2","Q3")))</f>
        <v>Q2</v>
      </c>
    </row>
    <row r="1238" spans="1:5" ht="18" customHeight="1" x14ac:dyDescent="0.25">
      <c r="A1238" s="27">
        <v>46253</v>
      </c>
      <c r="B1238" s="29">
        <f>MONTH(W_カレンダー[[#This Row],[日付]])</f>
        <v>8</v>
      </c>
      <c r="C1238" s="1">
        <f>YEAR(W_カレンダー[[#This Row],[日付]])</f>
        <v>2026</v>
      </c>
      <c r="D1238" s="1">
        <f>IF(W_カレンダー[[#This Row],[月]]&lt;=3,W_カレンダー[[#This Row],[暦年]]-1,W_カレンダー[[#This Row],[暦年]])</f>
        <v>2026</v>
      </c>
      <c r="E1238" s="1" t="str">
        <f>IF(W_カレンダー[[#This Row],[月]]&lt;=3,"Q4",IF(W_カレンダー[[#This Row],[月]]&lt;=6,"Q1",IF(W_カレンダー[[#This Row],[月]]&lt;=9,"Q2","Q3")))</f>
        <v>Q2</v>
      </c>
    </row>
    <row r="1239" spans="1:5" ht="18" customHeight="1" x14ac:dyDescent="0.25">
      <c r="A1239" s="27">
        <v>46254</v>
      </c>
      <c r="B1239" s="29">
        <f>MONTH(W_カレンダー[[#This Row],[日付]])</f>
        <v>8</v>
      </c>
      <c r="C1239" s="1">
        <f>YEAR(W_カレンダー[[#This Row],[日付]])</f>
        <v>2026</v>
      </c>
      <c r="D1239" s="1">
        <f>IF(W_カレンダー[[#This Row],[月]]&lt;=3,W_カレンダー[[#This Row],[暦年]]-1,W_カレンダー[[#This Row],[暦年]])</f>
        <v>2026</v>
      </c>
      <c r="E1239" s="1" t="str">
        <f>IF(W_カレンダー[[#This Row],[月]]&lt;=3,"Q4",IF(W_カレンダー[[#This Row],[月]]&lt;=6,"Q1",IF(W_カレンダー[[#This Row],[月]]&lt;=9,"Q2","Q3")))</f>
        <v>Q2</v>
      </c>
    </row>
    <row r="1240" spans="1:5" ht="18" customHeight="1" x14ac:dyDescent="0.25">
      <c r="A1240" s="27">
        <v>46255</v>
      </c>
      <c r="B1240" s="29">
        <f>MONTH(W_カレンダー[[#This Row],[日付]])</f>
        <v>8</v>
      </c>
      <c r="C1240" s="1">
        <f>YEAR(W_カレンダー[[#This Row],[日付]])</f>
        <v>2026</v>
      </c>
      <c r="D1240" s="1">
        <f>IF(W_カレンダー[[#This Row],[月]]&lt;=3,W_カレンダー[[#This Row],[暦年]]-1,W_カレンダー[[#This Row],[暦年]])</f>
        <v>2026</v>
      </c>
      <c r="E1240" s="1" t="str">
        <f>IF(W_カレンダー[[#This Row],[月]]&lt;=3,"Q4",IF(W_カレンダー[[#This Row],[月]]&lt;=6,"Q1",IF(W_カレンダー[[#This Row],[月]]&lt;=9,"Q2","Q3")))</f>
        <v>Q2</v>
      </c>
    </row>
    <row r="1241" spans="1:5" ht="18" customHeight="1" x14ac:dyDescent="0.25">
      <c r="A1241" s="27">
        <v>46256</v>
      </c>
      <c r="B1241" s="29">
        <f>MONTH(W_カレンダー[[#This Row],[日付]])</f>
        <v>8</v>
      </c>
      <c r="C1241" s="1">
        <f>YEAR(W_カレンダー[[#This Row],[日付]])</f>
        <v>2026</v>
      </c>
      <c r="D1241" s="1">
        <f>IF(W_カレンダー[[#This Row],[月]]&lt;=3,W_カレンダー[[#This Row],[暦年]]-1,W_カレンダー[[#This Row],[暦年]])</f>
        <v>2026</v>
      </c>
      <c r="E1241" s="1" t="str">
        <f>IF(W_カレンダー[[#This Row],[月]]&lt;=3,"Q4",IF(W_カレンダー[[#This Row],[月]]&lt;=6,"Q1",IF(W_カレンダー[[#This Row],[月]]&lt;=9,"Q2","Q3")))</f>
        <v>Q2</v>
      </c>
    </row>
    <row r="1242" spans="1:5" ht="18" customHeight="1" x14ac:dyDescent="0.25">
      <c r="A1242" s="27">
        <v>46257</v>
      </c>
      <c r="B1242" s="29">
        <f>MONTH(W_カレンダー[[#This Row],[日付]])</f>
        <v>8</v>
      </c>
      <c r="C1242" s="1">
        <f>YEAR(W_カレンダー[[#This Row],[日付]])</f>
        <v>2026</v>
      </c>
      <c r="D1242" s="1">
        <f>IF(W_カレンダー[[#This Row],[月]]&lt;=3,W_カレンダー[[#This Row],[暦年]]-1,W_カレンダー[[#This Row],[暦年]])</f>
        <v>2026</v>
      </c>
      <c r="E1242" s="1" t="str">
        <f>IF(W_カレンダー[[#This Row],[月]]&lt;=3,"Q4",IF(W_カレンダー[[#This Row],[月]]&lt;=6,"Q1",IF(W_カレンダー[[#This Row],[月]]&lt;=9,"Q2","Q3")))</f>
        <v>Q2</v>
      </c>
    </row>
    <row r="1243" spans="1:5" ht="18" customHeight="1" x14ac:dyDescent="0.25">
      <c r="A1243" s="27">
        <v>46258</v>
      </c>
      <c r="B1243" s="29">
        <f>MONTH(W_カレンダー[[#This Row],[日付]])</f>
        <v>8</v>
      </c>
      <c r="C1243" s="1">
        <f>YEAR(W_カレンダー[[#This Row],[日付]])</f>
        <v>2026</v>
      </c>
      <c r="D1243" s="1">
        <f>IF(W_カレンダー[[#This Row],[月]]&lt;=3,W_カレンダー[[#This Row],[暦年]]-1,W_カレンダー[[#This Row],[暦年]])</f>
        <v>2026</v>
      </c>
      <c r="E1243" s="1" t="str">
        <f>IF(W_カレンダー[[#This Row],[月]]&lt;=3,"Q4",IF(W_カレンダー[[#This Row],[月]]&lt;=6,"Q1",IF(W_カレンダー[[#This Row],[月]]&lt;=9,"Q2","Q3")))</f>
        <v>Q2</v>
      </c>
    </row>
    <row r="1244" spans="1:5" ht="18" customHeight="1" x14ac:dyDescent="0.25">
      <c r="A1244" s="27">
        <v>46259</v>
      </c>
      <c r="B1244" s="29">
        <f>MONTH(W_カレンダー[[#This Row],[日付]])</f>
        <v>8</v>
      </c>
      <c r="C1244" s="1">
        <f>YEAR(W_カレンダー[[#This Row],[日付]])</f>
        <v>2026</v>
      </c>
      <c r="D1244" s="1">
        <f>IF(W_カレンダー[[#This Row],[月]]&lt;=3,W_カレンダー[[#This Row],[暦年]]-1,W_カレンダー[[#This Row],[暦年]])</f>
        <v>2026</v>
      </c>
      <c r="E1244" s="1" t="str">
        <f>IF(W_カレンダー[[#This Row],[月]]&lt;=3,"Q4",IF(W_カレンダー[[#This Row],[月]]&lt;=6,"Q1",IF(W_カレンダー[[#This Row],[月]]&lt;=9,"Q2","Q3")))</f>
        <v>Q2</v>
      </c>
    </row>
    <row r="1245" spans="1:5" ht="18" customHeight="1" x14ac:dyDescent="0.25">
      <c r="A1245" s="27">
        <v>46260</v>
      </c>
      <c r="B1245" s="29">
        <f>MONTH(W_カレンダー[[#This Row],[日付]])</f>
        <v>8</v>
      </c>
      <c r="C1245" s="1">
        <f>YEAR(W_カレンダー[[#This Row],[日付]])</f>
        <v>2026</v>
      </c>
      <c r="D1245" s="1">
        <f>IF(W_カレンダー[[#This Row],[月]]&lt;=3,W_カレンダー[[#This Row],[暦年]]-1,W_カレンダー[[#This Row],[暦年]])</f>
        <v>2026</v>
      </c>
      <c r="E1245" s="1" t="str">
        <f>IF(W_カレンダー[[#This Row],[月]]&lt;=3,"Q4",IF(W_カレンダー[[#This Row],[月]]&lt;=6,"Q1",IF(W_カレンダー[[#This Row],[月]]&lt;=9,"Q2","Q3")))</f>
        <v>Q2</v>
      </c>
    </row>
    <row r="1246" spans="1:5" ht="18" customHeight="1" x14ac:dyDescent="0.25">
      <c r="A1246" s="27">
        <v>46261</v>
      </c>
      <c r="B1246" s="29">
        <f>MONTH(W_カレンダー[[#This Row],[日付]])</f>
        <v>8</v>
      </c>
      <c r="C1246" s="1">
        <f>YEAR(W_カレンダー[[#This Row],[日付]])</f>
        <v>2026</v>
      </c>
      <c r="D1246" s="1">
        <f>IF(W_カレンダー[[#This Row],[月]]&lt;=3,W_カレンダー[[#This Row],[暦年]]-1,W_カレンダー[[#This Row],[暦年]])</f>
        <v>2026</v>
      </c>
      <c r="E1246" s="1" t="str">
        <f>IF(W_カレンダー[[#This Row],[月]]&lt;=3,"Q4",IF(W_カレンダー[[#This Row],[月]]&lt;=6,"Q1",IF(W_カレンダー[[#This Row],[月]]&lt;=9,"Q2","Q3")))</f>
        <v>Q2</v>
      </c>
    </row>
    <row r="1247" spans="1:5" ht="18" customHeight="1" x14ac:dyDescent="0.25">
      <c r="A1247" s="27">
        <v>46262</v>
      </c>
      <c r="B1247" s="29">
        <f>MONTH(W_カレンダー[[#This Row],[日付]])</f>
        <v>8</v>
      </c>
      <c r="C1247" s="1">
        <f>YEAR(W_カレンダー[[#This Row],[日付]])</f>
        <v>2026</v>
      </c>
      <c r="D1247" s="1">
        <f>IF(W_カレンダー[[#This Row],[月]]&lt;=3,W_カレンダー[[#This Row],[暦年]]-1,W_カレンダー[[#This Row],[暦年]])</f>
        <v>2026</v>
      </c>
      <c r="E1247" s="1" t="str">
        <f>IF(W_カレンダー[[#This Row],[月]]&lt;=3,"Q4",IF(W_カレンダー[[#This Row],[月]]&lt;=6,"Q1",IF(W_カレンダー[[#This Row],[月]]&lt;=9,"Q2","Q3")))</f>
        <v>Q2</v>
      </c>
    </row>
    <row r="1248" spans="1:5" ht="18" customHeight="1" x14ac:dyDescent="0.25">
      <c r="A1248" s="27">
        <v>46263</v>
      </c>
      <c r="B1248" s="29">
        <f>MONTH(W_カレンダー[[#This Row],[日付]])</f>
        <v>8</v>
      </c>
      <c r="C1248" s="1">
        <f>YEAR(W_カレンダー[[#This Row],[日付]])</f>
        <v>2026</v>
      </c>
      <c r="D1248" s="1">
        <f>IF(W_カレンダー[[#This Row],[月]]&lt;=3,W_カレンダー[[#This Row],[暦年]]-1,W_カレンダー[[#This Row],[暦年]])</f>
        <v>2026</v>
      </c>
      <c r="E1248" s="1" t="str">
        <f>IF(W_カレンダー[[#This Row],[月]]&lt;=3,"Q4",IF(W_カレンダー[[#This Row],[月]]&lt;=6,"Q1",IF(W_カレンダー[[#This Row],[月]]&lt;=9,"Q2","Q3")))</f>
        <v>Q2</v>
      </c>
    </row>
    <row r="1249" spans="1:5" ht="18" customHeight="1" x14ac:dyDescent="0.25">
      <c r="A1249" s="27">
        <v>46264</v>
      </c>
      <c r="B1249" s="29">
        <f>MONTH(W_カレンダー[[#This Row],[日付]])</f>
        <v>8</v>
      </c>
      <c r="C1249" s="1">
        <f>YEAR(W_カレンダー[[#This Row],[日付]])</f>
        <v>2026</v>
      </c>
      <c r="D1249" s="1">
        <f>IF(W_カレンダー[[#This Row],[月]]&lt;=3,W_カレンダー[[#This Row],[暦年]]-1,W_カレンダー[[#This Row],[暦年]])</f>
        <v>2026</v>
      </c>
      <c r="E1249" s="1" t="str">
        <f>IF(W_カレンダー[[#This Row],[月]]&lt;=3,"Q4",IF(W_カレンダー[[#This Row],[月]]&lt;=6,"Q1",IF(W_カレンダー[[#This Row],[月]]&lt;=9,"Q2","Q3")))</f>
        <v>Q2</v>
      </c>
    </row>
    <row r="1250" spans="1:5" ht="18" customHeight="1" x14ac:dyDescent="0.25">
      <c r="A1250" s="27">
        <v>46265</v>
      </c>
      <c r="B1250" s="29">
        <f>MONTH(W_カレンダー[[#This Row],[日付]])</f>
        <v>8</v>
      </c>
      <c r="C1250" s="1">
        <f>YEAR(W_カレンダー[[#This Row],[日付]])</f>
        <v>2026</v>
      </c>
      <c r="D1250" s="1">
        <f>IF(W_カレンダー[[#This Row],[月]]&lt;=3,W_カレンダー[[#This Row],[暦年]]-1,W_カレンダー[[#This Row],[暦年]])</f>
        <v>2026</v>
      </c>
      <c r="E1250" s="1" t="str">
        <f>IF(W_カレンダー[[#This Row],[月]]&lt;=3,"Q4",IF(W_カレンダー[[#This Row],[月]]&lt;=6,"Q1",IF(W_カレンダー[[#This Row],[月]]&lt;=9,"Q2","Q3")))</f>
        <v>Q2</v>
      </c>
    </row>
    <row r="1251" spans="1:5" ht="18" customHeight="1" x14ac:dyDescent="0.25">
      <c r="A1251" s="27">
        <v>46266</v>
      </c>
      <c r="B1251" s="29">
        <f>MONTH(W_カレンダー[[#This Row],[日付]])</f>
        <v>9</v>
      </c>
      <c r="C1251" s="1">
        <f>YEAR(W_カレンダー[[#This Row],[日付]])</f>
        <v>2026</v>
      </c>
      <c r="D1251" s="1">
        <f>IF(W_カレンダー[[#This Row],[月]]&lt;=3,W_カレンダー[[#This Row],[暦年]]-1,W_カレンダー[[#This Row],[暦年]])</f>
        <v>2026</v>
      </c>
      <c r="E1251" s="1" t="str">
        <f>IF(W_カレンダー[[#This Row],[月]]&lt;=3,"Q4",IF(W_カレンダー[[#This Row],[月]]&lt;=6,"Q1",IF(W_カレンダー[[#This Row],[月]]&lt;=9,"Q2","Q3")))</f>
        <v>Q2</v>
      </c>
    </row>
    <row r="1252" spans="1:5" ht="18" customHeight="1" x14ac:dyDescent="0.25">
      <c r="A1252" s="27">
        <v>46267</v>
      </c>
      <c r="B1252" s="29">
        <f>MONTH(W_カレンダー[[#This Row],[日付]])</f>
        <v>9</v>
      </c>
      <c r="C1252" s="1">
        <f>YEAR(W_カレンダー[[#This Row],[日付]])</f>
        <v>2026</v>
      </c>
      <c r="D1252" s="1">
        <f>IF(W_カレンダー[[#This Row],[月]]&lt;=3,W_カレンダー[[#This Row],[暦年]]-1,W_カレンダー[[#This Row],[暦年]])</f>
        <v>2026</v>
      </c>
      <c r="E1252" s="1" t="str">
        <f>IF(W_カレンダー[[#This Row],[月]]&lt;=3,"Q4",IF(W_カレンダー[[#This Row],[月]]&lt;=6,"Q1",IF(W_カレンダー[[#This Row],[月]]&lt;=9,"Q2","Q3")))</f>
        <v>Q2</v>
      </c>
    </row>
    <row r="1253" spans="1:5" ht="18" customHeight="1" x14ac:dyDescent="0.25">
      <c r="A1253" s="27">
        <v>46268</v>
      </c>
      <c r="B1253" s="29">
        <f>MONTH(W_カレンダー[[#This Row],[日付]])</f>
        <v>9</v>
      </c>
      <c r="C1253" s="1">
        <f>YEAR(W_カレンダー[[#This Row],[日付]])</f>
        <v>2026</v>
      </c>
      <c r="D1253" s="1">
        <f>IF(W_カレンダー[[#This Row],[月]]&lt;=3,W_カレンダー[[#This Row],[暦年]]-1,W_カレンダー[[#This Row],[暦年]])</f>
        <v>2026</v>
      </c>
      <c r="E1253" s="1" t="str">
        <f>IF(W_カレンダー[[#This Row],[月]]&lt;=3,"Q4",IF(W_カレンダー[[#This Row],[月]]&lt;=6,"Q1",IF(W_カレンダー[[#This Row],[月]]&lt;=9,"Q2","Q3")))</f>
        <v>Q2</v>
      </c>
    </row>
    <row r="1254" spans="1:5" ht="18" customHeight="1" x14ac:dyDescent="0.25">
      <c r="A1254" s="27">
        <v>46269</v>
      </c>
      <c r="B1254" s="29">
        <f>MONTH(W_カレンダー[[#This Row],[日付]])</f>
        <v>9</v>
      </c>
      <c r="C1254" s="1">
        <f>YEAR(W_カレンダー[[#This Row],[日付]])</f>
        <v>2026</v>
      </c>
      <c r="D1254" s="1">
        <f>IF(W_カレンダー[[#This Row],[月]]&lt;=3,W_カレンダー[[#This Row],[暦年]]-1,W_カレンダー[[#This Row],[暦年]])</f>
        <v>2026</v>
      </c>
      <c r="E1254" s="1" t="str">
        <f>IF(W_カレンダー[[#This Row],[月]]&lt;=3,"Q4",IF(W_カレンダー[[#This Row],[月]]&lt;=6,"Q1",IF(W_カレンダー[[#This Row],[月]]&lt;=9,"Q2","Q3")))</f>
        <v>Q2</v>
      </c>
    </row>
    <row r="1255" spans="1:5" ht="18" customHeight="1" x14ac:dyDescent="0.25">
      <c r="A1255" s="27">
        <v>46270</v>
      </c>
      <c r="B1255" s="29">
        <f>MONTH(W_カレンダー[[#This Row],[日付]])</f>
        <v>9</v>
      </c>
      <c r="C1255" s="1">
        <f>YEAR(W_カレンダー[[#This Row],[日付]])</f>
        <v>2026</v>
      </c>
      <c r="D1255" s="1">
        <f>IF(W_カレンダー[[#This Row],[月]]&lt;=3,W_カレンダー[[#This Row],[暦年]]-1,W_カレンダー[[#This Row],[暦年]])</f>
        <v>2026</v>
      </c>
      <c r="E1255" s="1" t="str">
        <f>IF(W_カレンダー[[#This Row],[月]]&lt;=3,"Q4",IF(W_カレンダー[[#This Row],[月]]&lt;=6,"Q1",IF(W_カレンダー[[#This Row],[月]]&lt;=9,"Q2","Q3")))</f>
        <v>Q2</v>
      </c>
    </row>
    <row r="1256" spans="1:5" ht="18" customHeight="1" x14ac:dyDescent="0.25">
      <c r="A1256" s="27">
        <v>46271</v>
      </c>
      <c r="B1256" s="29">
        <f>MONTH(W_カレンダー[[#This Row],[日付]])</f>
        <v>9</v>
      </c>
      <c r="C1256" s="1">
        <f>YEAR(W_カレンダー[[#This Row],[日付]])</f>
        <v>2026</v>
      </c>
      <c r="D1256" s="1">
        <f>IF(W_カレンダー[[#This Row],[月]]&lt;=3,W_カレンダー[[#This Row],[暦年]]-1,W_カレンダー[[#This Row],[暦年]])</f>
        <v>2026</v>
      </c>
      <c r="E1256" s="1" t="str">
        <f>IF(W_カレンダー[[#This Row],[月]]&lt;=3,"Q4",IF(W_カレンダー[[#This Row],[月]]&lt;=6,"Q1",IF(W_カレンダー[[#This Row],[月]]&lt;=9,"Q2","Q3")))</f>
        <v>Q2</v>
      </c>
    </row>
    <row r="1257" spans="1:5" ht="18" customHeight="1" x14ac:dyDescent="0.25">
      <c r="A1257" s="27">
        <v>46272</v>
      </c>
      <c r="B1257" s="29">
        <f>MONTH(W_カレンダー[[#This Row],[日付]])</f>
        <v>9</v>
      </c>
      <c r="C1257" s="1">
        <f>YEAR(W_カレンダー[[#This Row],[日付]])</f>
        <v>2026</v>
      </c>
      <c r="D1257" s="1">
        <f>IF(W_カレンダー[[#This Row],[月]]&lt;=3,W_カレンダー[[#This Row],[暦年]]-1,W_カレンダー[[#This Row],[暦年]])</f>
        <v>2026</v>
      </c>
      <c r="E1257" s="1" t="str">
        <f>IF(W_カレンダー[[#This Row],[月]]&lt;=3,"Q4",IF(W_カレンダー[[#This Row],[月]]&lt;=6,"Q1",IF(W_カレンダー[[#This Row],[月]]&lt;=9,"Q2","Q3")))</f>
        <v>Q2</v>
      </c>
    </row>
    <row r="1258" spans="1:5" ht="18" customHeight="1" x14ac:dyDescent="0.25">
      <c r="A1258" s="27">
        <v>46273</v>
      </c>
      <c r="B1258" s="29">
        <f>MONTH(W_カレンダー[[#This Row],[日付]])</f>
        <v>9</v>
      </c>
      <c r="C1258" s="1">
        <f>YEAR(W_カレンダー[[#This Row],[日付]])</f>
        <v>2026</v>
      </c>
      <c r="D1258" s="1">
        <f>IF(W_カレンダー[[#This Row],[月]]&lt;=3,W_カレンダー[[#This Row],[暦年]]-1,W_カレンダー[[#This Row],[暦年]])</f>
        <v>2026</v>
      </c>
      <c r="E1258" s="1" t="str">
        <f>IF(W_カレンダー[[#This Row],[月]]&lt;=3,"Q4",IF(W_カレンダー[[#This Row],[月]]&lt;=6,"Q1",IF(W_カレンダー[[#This Row],[月]]&lt;=9,"Q2","Q3")))</f>
        <v>Q2</v>
      </c>
    </row>
    <row r="1259" spans="1:5" ht="18" customHeight="1" x14ac:dyDescent="0.25">
      <c r="A1259" s="27">
        <v>46274</v>
      </c>
      <c r="B1259" s="29">
        <f>MONTH(W_カレンダー[[#This Row],[日付]])</f>
        <v>9</v>
      </c>
      <c r="C1259" s="1">
        <f>YEAR(W_カレンダー[[#This Row],[日付]])</f>
        <v>2026</v>
      </c>
      <c r="D1259" s="1">
        <f>IF(W_カレンダー[[#This Row],[月]]&lt;=3,W_カレンダー[[#This Row],[暦年]]-1,W_カレンダー[[#This Row],[暦年]])</f>
        <v>2026</v>
      </c>
      <c r="E1259" s="1" t="str">
        <f>IF(W_カレンダー[[#This Row],[月]]&lt;=3,"Q4",IF(W_カレンダー[[#This Row],[月]]&lt;=6,"Q1",IF(W_カレンダー[[#This Row],[月]]&lt;=9,"Q2","Q3")))</f>
        <v>Q2</v>
      </c>
    </row>
    <row r="1260" spans="1:5" ht="18" customHeight="1" x14ac:dyDescent="0.25">
      <c r="A1260" s="27">
        <v>46275</v>
      </c>
      <c r="B1260" s="29">
        <f>MONTH(W_カレンダー[[#This Row],[日付]])</f>
        <v>9</v>
      </c>
      <c r="C1260" s="1">
        <f>YEAR(W_カレンダー[[#This Row],[日付]])</f>
        <v>2026</v>
      </c>
      <c r="D1260" s="1">
        <f>IF(W_カレンダー[[#This Row],[月]]&lt;=3,W_カレンダー[[#This Row],[暦年]]-1,W_カレンダー[[#This Row],[暦年]])</f>
        <v>2026</v>
      </c>
      <c r="E1260" s="1" t="str">
        <f>IF(W_カレンダー[[#This Row],[月]]&lt;=3,"Q4",IF(W_カレンダー[[#This Row],[月]]&lt;=6,"Q1",IF(W_カレンダー[[#This Row],[月]]&lt;=9,"Q2","Q3")))</f>
        <v>Q2</v>
      </c>
    </row>
    <row r="1261" spans="1:5" ht="18" customHeight="1" x14ac:dyDescent="0.25">
      <c r="A1261" s="27">
        <v>46276</v>
      </c>
      <c r="B1261" s="29">
        <f>MONTH(W_カレンダー[[#This Row],[日付]])</f>
        <v>9</v>
      </c>
      <c r="C1261" s="1">
        <f>YEAR(W_カレンダー[[#This Row],[日付]])</f>
        <v>2026</v>
      </c>
      <c r="D1261" s="1">
        <f>IF(W_カレンダー[[#This Row],[月]]&lt;=3,W_カレンダー[[#This Row],[暦年]]-1,W_カレンダー[[#This Row],[暦年]])</f>
        <v>2026</v>
      </c>
      <c r="E1261" s="1" t="str">
        <f>IF(W_カレンダー[[#This Row],[月]]&lt;=3,"Q4",IF(W_カレンダー[[#This Row],[月]]&lt;=6,"Q1",IF(W_カレンダー[[#This Row],[月]]&lt;=9,"Q2","Q3")))</f>
        <v>Q2</v>
      </c>
    </row>
    <row r="1262" spans="1:5" ht="18" customHeight="1" x14ac:dyDescent="0.25">
      <c r="A1262" s="27">
        <v>46277</v>
      </c>
      <c r="B1262" s="29">
        <f>MONTH(W_カレンダー[[#This Row],[日付]])</f>
        <v>9</v>
      </c>
      <c r="C1262" s="1">
        <f>YEAR(W_カレンダー[[#This Row],[日付]])</f>
        <v>2026</v>
      </c>
      <c r="D1262" s="1">
        <f>IF(W_カレンダー[[#This Row],[月]]&lt;=3,W_カレンダー[[#This Row],[暦年]]-1,W_カレンダー[[#This Row],[暦年]])</f>
        <v>2026</v>
      </c>
      <c r="E1262" s="1" t="str">
        <f>IF(W_カレンダー[[#This Row],[月]]&lt;=3,"Q4",IF(W_カレンダー[[#This Row],[月]]&lt;=6,"Q1",IF(W_カレンダー[[#This Row],[月]]&lt;=9,"Q2","Q3")))</f>
        <v>Q2</v>
      </c>
    </row>
    <row r="1263" spans="1:5" ht="18" customHeight="1" x14ac:dyDescent="0.25">
      <c r="A1263" s="27">
        <v>46278</v>
      </c>
      <c r="B1263" s="29">
        <f>MONTH(W_カレンダー[[#This Row],[日付]])</f>
        <v>9</v>
      </c>
      <c r="C1263" s="1">
        <f>YEAR(W_カレンダー[[#This Row],[日付]])</f>
        <v>2026</v>
      </c>
      <c r="D1263" s="1">
        <f>IF(W_カレンダー[[#This Row],[月]]&lt;=3,W_カレンダー[[#This Row],[暦年]]-1,W_カレンダー[[#This Row],[暦年]])</f>
        <v>2026</v>
      </c>
      <c r="E1263" s="1" t="str">
        <f>IF(W_カレンダー[[#This Row],[月]]&lt;=3,"Q4",IF(W_カレンダー[[#This Row],[月]]&lt;=6,"Q1",IF(W_カレンダー[[#This Row],[月]]&lt;=9,"Q2","Q3")))</f>
        <v>Q2</v>
      </c>
    </row>
    <row r="1264" spans="1:5" ht="18" customHeight="1" x14ac:dyDescent="0.25">
      <c r="A1264" s="27">
        <v>46279</v>
      </c>
      <c r="B1264" s="29">
        <f>MONTH(W_カレンダー[[#This Row],[日付]])</f>
        <v>9</v>
      </c>
      <c r="C1264" s="1">
        <f>YEAR(W_カレンダー[[#This Row],[日付]])</f>
        <v>2026</v>
      </c>
      <c r="D1264" s="1">
        <f>IF(W_カレンダー[[#This Row],[月]]&lt;=3,W_カレンダー[[#This Row],[暦年]]-1,W_カレンダー[[#This Row],[暦年]])</f>
        <v>2026</v>
      </c>
      <c r="E1264" s="1" t="str">
        <f>IF(W_カレンダー[[#This Row],[月]]&lt;=3,"Q4",IF(W_カレンダー[[#This Row],[月]]&lt;=6,"Q1",IF(W_カレンダー[[#This Row],[月]]&lt;=9,"Q2","Q3")))</f>
        <v>Q2</v>
      </c>
    </row>
    <row r="1265" spans="1:5" ht="18" customHeight="1" x14ac:dyDescent="0.25">
      <c r="A1265" s="27">
        <v>46280</v>
      </c>
      <c r="B1265" s="29">
        <f>MONTH(W_カレンダー[[#This Row],[日付]])</f>
        <v>9</v>
      </c>
      <c r="C1265" s="1">
        <f>YEAR(W_カレンダー[[#This Row],[日付]])</f>
        <v>2026</v>
      </c>
      <c r="D1265" s="1">
        <f>IF(W_カレンダー[[#This Row],[月]]&lt;=3,W_カレンダー[[#This Row],[暦年]]-1,W_カレンダー[[#This Row],[暦年]])</f>
        <v>2026</v>
      </c>
      <c r="E1265" s="1" t="str">
        <f>IF(W_カレンダー[[#This Row],[月]]&lt;=3,"Q4",IF(W_カレンダー[[#This Row],[月]]&lt;=6,"Q1",IF(W_カレンダー[[#This Row],[月]]&lt;=9,"Q2","Q3")))</f>
        <v>Q2</v>
      </c>
    </row>
    <row r="1266" spans="1:5" ht="18" customHeight="1" x14ac:dyDescent="0.25">
      <c r="A1266" s="27">
        <v>46281</v>
      </c>
      <c r="B1266" s="29">
        <f>MONTH(W_カレンダー[[#This Row],[日付]])</f>
        <v>9</v>
      </c>
      <c r="C1266" s="1">
        <f>YEAR(W_カレンダー[[#This Row],[日付]])</f>
        <v>2026</v>
      </c>
      <c r="D1266" s="1">
        <f>IF(W_カレンダー[[#This Row],[月]]&lt;=3,W_カレンダー[[#This Row],[暦年]]-1,W_カレンダー[[#This Row],[暦年]])</f>
        <v>2026</v>
      </c>
      <c r="E1266" s="1" t="str">
        <f>IF(W_カレンダー[[#This Row],[月]]&lt;=3,"Q4",IF(W_カレンダー[[#This Row],[月]]&lt;=6,"Q1",IF(W_カレンダー[[#This Row],[月]]&lt;=9,"Q2","Q3")))</f>
        <v>Q2</v>
      </c>
    </row>
    <row r="1267" spans="1:5" ht="18" customHeight="1" x14ac:dyDescent="0.25">
      <c r="A1267" s="27">
        <v>46282</v>
      </c>
      <c r="B1267" s="29">
        <f>MONTH(W_カレンダー[[#This Row],[日付]])</f>
        <v>9</v>
      </c>
      <c r="C1267" s="1">
        <f>YEAR(W_カレンダー[[#This Row],[日付]])</f>
        <v>2026</v>
      </c>
      <c r="D1267" s="1">
        <f>IF(W_カレンダー[[#This Row],[月]]&lt;=3,W_カレンダー[[#This Row],[暦年]]-1,W_カレンダー[[#This Row],[暦年]])</f>
        <v>2026</v>
      </c>
      <c r="E1267" s="1" t="str">
        <f>IF(W_カレンダー[[#This Row],[月]]&lt;=3,"Q4",IF(W_カレンダー[[#This Row],[月]]&lt;=6,"Q1",IF(W_カレンダー[[#This Row],[月]]&lt;=9,"Q2","Q3")))</f>
        <v>Q2</v>
      </c>
    </row>
    <row r="1268" spans="1:5" ht="18" customHeight="1" x14ac:dyDescent="0.25">
      <c r="A1268" s="27">
        <v>46283</v>
      </c>
      <c r="B1268" s="29">
        <f>MONTH(W_カレンダー[[#This Row],[日付]])</f>
        <v>9</v>
      </c>
      <c r="C1268" s="1">
        <f>YEAR(W_カレンダー[[#This Row],[日付]])</f>
        <v>2026</v>
      </c>
      <c r="D1268" s="1">
        <f>IF(W_カレンダー[[#This Row],[月]]&lt;=3,W_カレンダー[[#This Row],[暦年]]-1,W_カレンダー[[#This Row],[暦年]])</f>
        <v>2026</v>
      </c>
      <c r="E1268" s="1" t="str">
        <f>IF(W_カレンダー[[#This Row],[月]]&lt;=3,"Q4",IF(W_カレンダー[[#This Row],[月]]&lt;=6,"Q1",IF(W_カレンダー[[#This Row],[月]]&lt;=9,"Q2","Q3")))</f>
        <v>Q2</v>
      </c>
    </row>
    <row r="1269" spans="1:5" ht="18" customHeight="1" x14ac:dyDescent="0.25">
      <c r="A1269" s="27">
        <v>46284</v>
      </c>
      <c r="B1269" s="29">
        <f>MONTH(W_カレンダー[[#This Row],[日付]])</f>
        <v>9</v>
      </c>
      <c r="C1269" s="1">
        <f>YEAR(W_カレンダー[[#This Row],[日付]])</f>
        <v>2026</v>
      </c>
      <c r="D1269" s="1">
        <f>IF(W_カレンダー[[#This Row],[月]]&lt;=3,W_カレンダー[[#This Row],[暦年]]-1,W_カレンダー[[#This Row],[暦年]])</f>
        <v>2026</v>
      </c>
      <c r="E1269" s="1" t="str">
        <f>IF(W_カレンダー[[#This Row],[月]]&lt;=3,"Q4",IF(W_カレンダー[[#This Row],[月]]&lt;=6,"Q1",IF(W_カレンダー[[#This Row],[月]]&lt;=9,"Q2","Q3")))</f>
        <v>Q2</v>
      </c>
    </row>
    <row r="1270" spans="1:5" ht="18" customHeight="1" x14ac:dyDescent="0.25">
      <c r="A1270" s="27">
        <v>46285</v>
      </c>
      <c r="B1270" s="29">
        <f>MONTH(W_カレンダー[[#This Row],[日付]])</f>
        <v>9</v>
      </c>
      <c r="C1270" s="1">
        <f>YEAR(W_カレンダー[[#This Row],[日付]])</f>
        <v>2026</v>
      </c>
      <c r="D1270" s="1">
        <f>IF(W_カレンダー[[#This Row],[月]]&lt;=3,W_カレンダー[[#This Row],[暦年]]-1,W_カレンダー[[#This Row],[暦年]])</f>
        <v>2026</v>
      </c>
      <c r="E1270" s="1" t="str">
        <f>IF(W_カレンダー[[#This Row],[月]]&lt;=3,"Q4",IF(W_カレンダー[[#This Row],[月]]&lt;=6,"Q1",IF(W_カレンダー[[#This Row],[月]]&lt;=9,"Q2","Q3")))</f>
        <v>Q2</v>
      </c>
    </row>
    <row r="1271" spans="1:5" ht="18" customHeight="1" x14ac:dyDescent="0.25">
      <c r="A1271" s="27">
        <v>46286</v>
      </c>
      <c r="B1271" s="29">
        <f>MONTH(W_カレンダー[[#This Row],[日付]])</f>
        <v>9</v>
      </c>
      <c r="C1271" s="1">
        <f>YEAR(W_カレンダー[[#This Row],[日付]])</f>
        <v>2026</v>
      </c>
      <c r="D1271" s="1">
        <f>IF(W_カレンダー[[#This Row],[月]]&lt;=3,W_カレンダー[[#This Row],[暦年]]-1,W_カレンダー[[#This Row],[暦年]])</f>
        <v>2026</v>
      </c>
      <c r="E1271" s="1" t="str">
        <f>IF(W_カレンダー[[#This Row],[月]]&lt;=3,"Q4",IF(W_カレンダー[[#This Row],[月]]&lt;=6,"Q1",IF(W_カレンダー[[#This Row],[月]]&lt;=9,"Q2","Q3")))</f>
        <v>Q2</v>
      </c>
    </row>
    <row r="1272" spans="1:5" ht="18" customHeight="1" x14ac:dyDescent="0.25">
      <c r="A1272" s="27">
        <v>46287</v>
      </c>
      <c r="B1272" s="29">
        <f>MONTH(W_カレンダー[[#This Row],[日付]])</f>
        <v>9</v>
      </c>
      <c r="C1272" s="1">
        <f>YEAR(W_カレンダー[[#This Row],[日付]])</f>
        <v>2026</v>
      </c>
      <c r="D1272" s="1">
        <f>IF(W_カレンダー[[#This Row],[月]]&lt;=3,W_カレンダー[[#This Row],[暦年]]-1,W_カレンダー[[#This Row],[暦年]])</f>
        <v>2026</v>
      </c>
      <c r="E1272" s="1" t="str">
        <f>IF(W_カレンダー[[#This Row],[月]]&lt;=3,"Q4",IF(W_カレンダー[[#This Row],[月]]&lt;=6,"Q1",IF(W_カレンダー[[#This Row],[月]]&lt;=9,"Q2","Q3")))</f>
        <v>Q2</v>
      </c>
    </row>
    <row r="1273" spans="1:5" ht="18" customHeight="1" x14ac:dyDescent="0.25">
      <c r="A1273" s="27">
        <v>46288</v>
      </c>
      <c r="B1273" s="29">
        <f>MONTH(W_カレンダー[[#This Row],[日付]])</f>
        <v>9</v>
      </c>
      <c r="C1273" s="1">
        <f>YEAR(W_カレンダー[[#This Row],[日付]])</f>
        <v>2026</v>
      </c>
      <c r="D1273" s="1">
        <f>IF(W_カレンダー[[#This Row],[月]]&lt;=3,W_カレンダー[[#This Row],[暦年]]-1,W_カレンダー[[#This Row],[暦年]])</f>
        <v>2026</v>
      </c>
      <c r="E1273" s="1" t="str">
        <f>IF(W_カレンダー[[#This Row],[月]]&lt;=3,"Q4",IF(W_カレンダー[[#This Row],[月]]&lt;=6,"Q1",IF(W_カレンダー[[#This Row],[月]]&lt;=9,"Q2","Q3")))</f>
        <v>Q2</v>
      </c>
    </row>
    <row r="1274" spans="1:5" ht="18" customHeight="1" x14ac:dyDescent="0.25">
      <c r="A1274" s="27">
        <v>46289</v>
      </c>
      <c r="B1274" s="29">
        <f>MONTH(W_カレンダー[[#This Row],[日付]])</f>
        <v>9</v>
      </c>
      <c r="C1274" s="1">
        <f>YEAR(W_カレンダー[[#This Row],[日付]])</f>
        <v>2026</v>
      </c>
      <c r="D1274" s="1">
        <f>IF(W_カレンダー[[#This Row],[月]]&lt;=3,W_カレンダー[[#This Row],[暦年]]-1,W_カレンダー[[#This Row],[暦年]])</f>
        <v>2026</v>
      </c>
      <c r="E1274" s="1" t="str">
        <f>IF(W_カレンダー[[#This Row],[月]]&lt;=3,"Q4",IF(W_カレンダー[[#This Row],[月]]&lt;=6,"Q1",IF(W_カレンダー[[#This Row],[月]]&lt;=9,"Q2","Q3")))</f>
        <v>Q2</v>
      </c>
    </row>
    <row r="1275" spans="1:5" ht="18" customHeight="1" x14ac:dyDescent="0.25">
      <c r="A1275" s="27">
        <v>46290</v>
      </c>
      <c r="B1275" s="29">
        <f>MONTH(W_カレンダー[[#This Row],[日付]])</f>
        <v>9</v>
      </c>
      <c r="C1275" s="1">
        <f>YEAR(W_カレンダー[[#This Row],[日付]])</f>
        <v>2026</v>
      </c>
      <c r="D1275" s="1">
        <f>IF(W_カレンダー[[#This Row],[月]]&lt;=3,W_カレンダー[[#This Row],[暦年]]-1,W_カレンダー[[#This Row],[暦年]])</f>
        <v>2026</v>
      </c>
      <c r="E1275" s="1" t="str">
        <f>IF(W_カレンダー[[#This Row],[月]]&lt;=3,"Q4",IF(W_カレンダー[[#This Row],[月]]&lt;=6,"Q1",IF(W_カレンダー[[#This Row],[月]]&lt;=9,"Q2","Q3")))</f>
        <v>Q2</v>
      </c>
    </row>
    <row r="1276" spans="1:5" ht="18" customHeight="1" x14ac:dyDescent="0.25">
      <c r="A1276" s="27">
        <v>46291</v>
      </c>
      <c r="B1276" s="29">
        <f>MONTH(W_カレンダー[[#This Row],[日付]])</f>
        <v>9</v>
      </c>
      <c r="C1276" s="1">
        <f>YEAR(W_カレンダー[[#This Row],[日付]])</f>
        <v>2026</v>
      </c>
      <c r="D1276" s="1">
        <f>IF(W_カレンダー[[#This Row],[月]]&lt;=3,W_カレンダー[[#This Row],[暦年]]-1,W_カレンダー[[#This Row],[暦年]])</f>
        <v>2026</v>
      </c>
      <c r="E1276" s="1" t="str">
        <f>IF(W_カレンダー[[#This Row],[月]]&lt;=3,"Q4",IF(W_カレンダー[[#This Row],[月]]&lt;=6,"Q1",IF(W_カレンダー[[#This Row],[月]]&lt;=9,"Q2","Q3")))</f>
        <v>Q2</v>
      </c>
    </row>
    <row r="1277" spans="1:5" ht="18" customHeight="1" x14ac:dyDescent="0.25">
      <c r="A1277" s="27">
        <v>46292</v>
      </c>
      <c r="B1277" s="29">
        <f>MONTH(W_カレンダー[[#This Row],[日付]])</f>
        <v>9</v>
      </c>
      <c r="C1277" s="1">
        <f>YEAR(W_カレンダー[[#This Row],[日付]])</f>
        <v>2026</v>
      </c>
      <c r="D1277" s="1">
        <f>IF(W_カレンダー[[#This Row],[月]]&lt;=3,W_カレンダー[[#This Row],[暦年]]-1,W_カレンダー[[#This Row],[暦年]])</f>
        <v>2026</v>
      </c>
      <c r="E1277" s="1" t="str">
        <f>IF(W_カレンダー[[#This Row],[月]]&lt;=3,"Q4",IF(W_カレンダー[[#This Row],[月]]&lt;=6,"Q1",IF(W_カレンダー[[#This Row],[月]]&lt;=9,"Q2","Q3")))</f>
        <v>Q2</v>
      </c>
    </row>
    <row r="1278" spans="1:5" ht="18" customHeight="1" x14ac:dyDescent="0.25">
      <c r="A1278" s="27">
        <v>46293</v>
      </c>
      <c r="B1278" s="29">
        <f>MONTH(W_カレンダー[[#This Row],[日付]])</f>
        <v>9</v>
      </c>
      <c r="C1278" s="1">
        <f>YEAR(W_カレンダー[[#This Row],[日付]])</f>
        <v>2026</v>
      </c>
      <c r="D1278" s="1">
        <f>IF(W_カレンダー[[#This Row],[月]]&lt;=3,W_カレンダー[[#This Row],[暦年]]-1,W_カレンダー[[#This Row],[暦年]])</f>
        <v>2026</v>
      </c>
      <c r="E1278" s="1" t="str">
        <f>IF(W_カレンダー[[#This Row],[月]]&lt;=3,"Q4",IF(W_カレンダー[[#This Row],[月]]&lt;=6,"Q1",IF(W_カレンダー[[#This Row],[月]]&lt;=9,"Q2","Q3")))</f>
        <v>Q2</v>
      </c>
    </row>
    <row r="1279" spans="1:5" ht="18" customHeight="1" x14ac:dyDescent="0.25">
      <c r="A1279" s="27">
        <v>46294</v>
      </c>
      <c r="B1279" s="29">
        <f>MONTH(W_カレンダー[[#This Row],[日付]])</f>
        <v>9</v>
      </c>
      <c r="C1279" s="1">
        <f>YEAR(W_カレンダー[[#This Row],[日付]])</f>
        <v>2026</v>
      </c>
      <c r="D1279" s="1">
        <f>IF(W_カレンダー[[#This Row],[月]]&lt;=3,W_カレンダー[[#This Row],[暦年]]-1,W_カレンダー[[#This Row],[暦年]])</f>
        <v>2026</v>
      </c>
      <c r="E1279" s="1" t="str">
        <f>IF(W_カレンダー[[#This Row],[月]]&lt;=3,"Q4",IF(W_カレンダー[[#This Row],[月]]&lt;=6,"Q1",IF(W_カレンダー[[#This Row],[月]]&lt;=9,"Q2","Q3")))</f>
        <v>Q2</v>
      </c>
    </row>
    <row r="1280" spans="1:5" ht="18" customHeight="1" x14ac:dyDescent="0.25">
      <c r="A1280" s="27">
        <v>46295</v>
      </c>
      <c r="B1280" s="29">
        <f>MONTH(W_カレンダー[[#This Row],[日付]])</f>
        <v>9</v>
      </c>
      <c r="C1280" s="1">
        <f>YEAR(W_カレンダー[[#This Row],[日付]])</f>
        <v>2026</v>
      </c>
      <c r="D1280" s="1">
        <f>IF(W_カレンダー[[#This Row],[月]]&lt;=3,W_カレンダー[[#This Row],[暦年]]-1,W_カレンダー[[#This Row],[暦年]])</f>
        <v>2026</v>
      </c>
      <c r="E1280" s="1" t="str">
        <f>IF(W_カレンダー[[#This Row],[月]]&lt;=3,"Q4",IF(W_カレンダー[[#This Row],[月]]&lt;=6,"Q1",IF(W_カレンダー[[#This Row],[月]]&lt;=9,"Q2","Q3")))</f>
        <v>Q2</v>
      </c>
    </row>
    <row r="1281" spans="1:5" ht="18" customHeight="1" x14ac:dyDescent="0.25">
      <c r="A1281" s="27">
        <v>46296</v>
      </c>
      <c r="B1281" s="29">
        <f>MONTH(W_カレンダー[[#This Row],[日付]])</f>
        <v>10</v>
      </c>
      <c r="C1281" s="1">
        <f>YEAR(W_カレンダー[[#This Row],[日付]])</f>
        <v>2026</v>
      </c>
      <c r="D1281" s="1">
        <f>IF(W_カレンダー[[#This Row],[月]]&lt;=3,W_カレンダー[[#This Row],[暦年]]-1,W_カレンダー[[#This Row],[暦年]])</f>
        <v>2026</v>
      </c>
      <c r="E1281" s="1" t="str">
        <f>IF(W_カレンダー[[#This Row],[月]]&lt;=3,"Q4",IF(W_カレンダー[[#This Row],[月]]&lt;=6,"Q1",IF(W_カレンダー[[#This Row],[月]]&lt;=9,"Q2","Q3")))</f>
        <v>Q3</v>
      </c>
    </row>
    <row r="1282" spans="1:5" ht="18" customHeight="1" x14ac:dyDescent="0.25">
      <c r="A1282" s="27">
        <v>46297</v>
      </c>
      <c r="B1282" s="29">
        <f>MONTH(W_カレンダー[[#This Row],[日付]])</f>
        <v>10</v>
      </c>
      <c r="C1282" s="1">
        <f>YEAR(W_カレンダー[[#This Row],[日付]])</f>
        <v>2026</v>
      </c>
      <c r="D1282" s="1">
        <f>IF(W_カレンダー[[#This Row],[月]]&lt;=3,W_カレンダー[[#This Row],[暦年]]-1,W_カレンダー[[#This Row],[暦年]])</f>
        <v>2026</v>
      </c>
      <c r="E1282" s="1" t="str">
        <f>IF(W_カレンダー[[#This Row],[月]]&lt;=3,"Q4",IF(W_カレンダー[[#This Row],[月]]&lt;=6,"Q1",IF(W_カレンダー[[#This Row],[月]]&lt;=9,"Q2","Q3")))</f>
        <v>Q3</v>
      </c>
    </row>
    <row r="1283" spans="1:5" ht="18" customHeight="1" x14ac:dyDescent="0.25">
      <c r="A1283" s="27">
        <v>46298</v>
      </c>
      <c r="B1283" s="29">
        <f>MONTH(W_カレンダー[[#This Row],[日付]])</f>
        <v>10</v>
      </c>
      <c r="C1283" s="1">
        <f>YEAR(W_カレンダー[[#This Row],[日付]])</f>
        <v>2026</v>
      </c>
      <c r="D1283" s="1">
        <f>IF(W_カレンダー[[#This Row],[月]]&lt;=3,W_カレンダー[[#This Row],[暦年]]-1,W_カレンダー[[#This Row],[暦年]])</f>
        <v>2026</v>
      </c>
      <c r="E1283" s="1" t="str">
        <f>IF(W_カレンダー[[#This Row],[月]]&lt;=3,"Q4",IF(W_カレンダー[[#This Row],[月]]&lt;=6,"Q1",IF(W_カレンダー[[#This Row],[月]]&lt;=9,"Q2","Q3")))</f>
        <v>Q3</v>
      </c>
    </row>
    <row r="1284" spans="1:5" ht="18" customHeight="1" x14ac:dyDescent="0.25">
      <c r="A1284" s="27">
        <v>46299</v>
      </c>
      <c r="B1284" s="29">
        <f>MONTH(W_カレンダー[[#This Row],[日付]])</f>
        <v>10</v>
      </c>
      <c r="C1284" s="1">
        <f>YEAR(W_カレンダー[[#This Row],[日付]])</f>
        <v>2026</v>
      </c>
      <c r="D1284" s="1">
        <f>IF(W_カレンダー[[#This Row],[月]]&lt;=3,W_カレンダー[[#This Row],[暦年]]-1,W_カレンダー[[#This Row],[暦年]])</f>
        <v>2026</v>
      </c>
      <c r="E1284" s="1" t="str">
        <f>IF(W_カレンダー[[#This Row],[月]]&lt;=3,"Q4",IF(W_カレンダー[[#This Row],[月]]&lt;=6,"Q1",IF(W_カレンダー[[#This Row],[月]]&lt;=9,"Q2","Q3")))</f>
        <v>Q3</v>
      </c>
    </row>
    <row r="1285" spans="1:5" ht="18" customHeight="1" x14ac:dyDescent="0.25">
      <c r="A1285" s="27">
        <v>46300</v>
      </c>
      <c r="B1285" s="29">
        <f>MONTH(W_カレンダー[[#This Row],[日付]])</f>
        <v>10</v>
      </c>
      <c r="C1285" s="1">
        <f>YEAR(W_カレンダー[[#This Row],[日付]])</f>
        <v>2026</v>
      </c>
      <c r="D1285" s="1">
        <f>IF(W_カレンダー[[#This Row],[月]]&lt;=3,W_カレンダー[[#This Row],[暦年]]-1,W_カレンダー[[#This Row],[暦年]])</f>
        <v>2026</v>
      </c>
      <c r="E1285" s="1" t="str">
        <f>IF(W_カレンダー[[#This Row],[月]]&lt;=3,"Q4",IF(W_カレンダー[[#This Row],[月]]&lt;=6,"Q1",IF(W_カレンダー[[#This Row],[月]]&lt;=9,"Q2","Q3")))</f>
        <v>Q3</v>
      </c>
    </row>
    <row r="1286" spans="1:5" ht="18" customHeight="1" x14ac:dyDescent="0.25">
      <c r="A1286" s="27">
        <v>46301</v>
      </c>
      <c r="B1286" s="29">
        <f>MONTH(W_カレンダー[[#This Row],[日付]])</f>
        <v>10</v>
      </c>
      <c r="C1286" s="1">
        <f>YEAR(W_カレンダー[[#This Row],[日付]])</f>
        <v>2026</v>
      </c>
      <c r="D1286" s="1">
        <f>IF(W_カレンダー[[#This Row],[月]]&lt;=3,W_カレンダー[[#This Row],[暦年]]-1,W_カレンダー[[#This Row],[暦年]])</f>
        <v>2026</v>
      </c>
      <c r="E1286" s="1" t="str">
        <f>IF(W_カレンダー[[#This Row],[月]]&lt;=3,"Q4",IF(W_カレンダー[[#This Row],[月]]&lt;=6,"Q1",IF(W_カレンダー[[#This Row],[月]]&lt;=9,"Q2","Q3")))</f>
        <v>Q3</v>
      </c>
    </row>
    <row r="1287" spans="1:5" ht="18" customHeight="1" x14ac:dyDescent="0.25">
      <c r="A1287" s="27">
        <v>46302</v>
      </c>
      <c r="B1287" s="29">
        <f>MONTH(W_カレンダー[[#This Row],[日付]])</f>
        <v>10</v>
      </c>
      <c r="C1287" s="1">
        <f>YEAR(W_カレンダー[[#This Row],[日付]])</f>
        <v>2026</v>
      </c>
      <c r="D1287" s="1">
        <f>IF(W_カレンダー[[#This Row],[月]]&lt;=3,W_カレンダー[[#This Row],[暦年]]-1,W_カレンダー[[#This Row],[暦年]])</f>
        <v>2026</v>
      </c>
      <c r="E1287" s="1" t="str">
        <f>IF(W_カレンダー[[#This Row],[月]]&lt;=3,"Q4",IF(W_カレンダー[[#This Row],[月]]&lt;=6,"Q1",IF(W_カレンダー[[#This Row],[月]]&lt;=9,"Q2","Q3")))</f>
        <v>Q3</v>
      </c>
    </row>
    <row r="1288" spans="1:5" ht="18" customHeight="1" x14ac:dyDescent="0.25">
      <c r="A1288" s="27">
        <v>46303</v>
      </c>
      <c r="B1288" s="29">
        <f>MONTH(W_カレンダー[[#This Row],[日付]])</f>
        <v>10</v>
      </c>
      <c r="C1288" s="1">
        <f>YEAR(W_カレンダー[[#This Row],[日付]])</f>
        <v>2026</v>
      </c>
      <c r="D1288" s="1">
        <f>IF(W_カレンダー[[#This Row],[月]]&lt;=3,W_カレンダー[[#This Row],[暦年]]-1,W_カレンダー[[#This Row],[暦年]])</f>
        <v>2026</v>
      </c>
      <c r="E1288" s="1" t="str">
        <f>IF(W_カレンダー[[#This Row],[月]]&lt;=3,"Q4",IF(W_カレンダー[[#This Row],[月]]&lt;=6,"Q1",IF(W_カレンダー[[#This Row],[月]]&lt;=9,"Q2","Q3")))</f>
        <v>Q3</v>
      </c>
    </row>
    <row r="1289" spans="1:5" ht="18" customHeight="1" x14ac:dyDescent="0.25">
      <c r="A1289" s="27">
        <v>46304</v>
      </c>
      <c r="B1289" s="29">
        <f>MONTH(W_カレンダー[[#This Row],[日付]])</f>
        <v>10</v>
      </c>
      <c r="C1289" s="1">
        <f>YEAR(W_カレンダー[[#This Row],[日付]])</f>
        <v>2026</v>
      </c>
      <c r="D1289" s="1">
        <f>IF(W_カレンダー[[#This Row],[月]]&lt;=3,W_カレンダー[[#This Row],[暦年]]-1,W_カレンダー[[#This Row],[暦年]])</f>
        <v>2026</v>
      </c>
      <c r="E1289" s="1" t="str">
        <f>IF(W_カレンダー[[#This Row],[月]]&lt;=3,"Q4",IF(W_カレンダー[[#This Row],[月]]&lt;=6,"Q1",IF(W_カレンダー[[#This Row],[月]]&lt;=9,"Q2","Q3")))</f>
        <v>Q3</v>
      </c>
    </row>
    <row r="1290" spans="1:5" ht="18" customHeight="1" x14ac:dyDescent="0.25">
      <c r="A1290" s="27">
        <v>46305</v>
      </c>
      <c r="B1290" s="29">
        <f>MONTH(W_カレンダー[[#This Row],[日付]])</f>
        <v>10</v>
      </c>
      <c r="C1290" s="1">
        <f>YEAR(W_カレンダー[[#This Row],[日付]])</f>
        <v>2026</v>
      </c>
      <c r="D1290" s="1">
        <f>IF(W_カレンダー[[#This Row],[月]]&lt;=3,W_カレンダー[[#This Row],[暦年]]-1,W_カレンダー[[#This Row],[暦年]])</f>
        <v>2026</v>
      </c>
      <c r="E1290" s="1" t="str">
        <f>IF(W_カレンダー[[#This Row],[月]]&lt;=3,"Q4",IF(W_カレンダー[[#This Row],[月]]&lt;=6,"Q1",IF(W_カレンダー[[#This Row],[月]]&lt;=9,"Q2","Q3")))</f>
        <v>Q3</v>
      </c>
    </row>
    <row r="1291" spans="1:5" ht="18" customHeight="1" x14ac:dyDescent="0.25">
      <c r="A1291" s="27">
        <v>46306</v>
      </c>
      <c r="B1291" s="29">
        <f>MONTH(W_カレンダー[[#This Row],[日付]])</f>
        <v>10</v>
      </c>
      <c r="C1291" s="1">
        <f>YEAR(W_カレンダー[[#This Row],[日付]])</f>
        <v>2026</v>
      </c>
      <c r="D1291" s="1">
        <f>IF(W_カレンダー[[#This Row],[月]]&lt;=3,W_カレンダー[[#This Row],[暦年]]-1,W_カレンダー[[#This Row],[暦年]])</f>
        <v>2026</v>
      </c>
      <c r="E1291" s="1" t="str">
        <f>IF(W_カレンダー[[#This Row],[月]]&lt;=3,"Q4",IF(W_カレンダー[[#This Row],[月]]&lt;=6,"Q1",IF(W_カレンダー[[#This Row],[月]]&lt;=9,"Q2","Q3")))</f>
        <v>Q3</v>
      </c>
    </row>
    <row r="1292" spans="1:5" ht="18" customHeight="1" x14ac:dyDescent="0.25">
      <c r="A1292" s="27">
        <v>46307</v>
      </c>
      <c r="B1292" s="29">
        <f>MONTH(W_カレンダー[[#This Row],[日付]])</f>
        <v>10</v>
      </c>
      <c r="C1292" s="1">
        <f>YEAR(W_カレンダー[[#This Row],[日付]])</f>
        <v>2026</v>
      </c>
      <c r="D1292" s="1">
        <f>IF(W_カレンダー[[#This Row],[月]]&lt;=3,W_カレンダー[[#This Row],[暦年]]-1,W_カレンダー[[#This Row],[暦年]])</f>
        <v>2026</v>
      </c>
      <c r="E1292" s="1" t="str">
        <f>IF(W_カレンダー[[#This Row],[月]]&lt;=3,"Q4",IF(W_カレンダー[[#This Row],[月]]&lt;=6,"Q1",IF(W_カレンダー[[#This Row],[月]]&lt;=9,"Q2","Q3")))</f>
        <v>Q3</v>
      </c>
    </row>
    <row r="1293" spans="1:5" ht="18" customHeight="1" x14ac:dyDescent="0.25">
      <c r="A1293" s="27">
        <v>46308</v>
      </c>
      <c r="B1293" s="29">
        <f>MONTH(W_カレンダー[[#This Row],[日付]])</f>
        <v>10</v>
      </c>
      <c r="C1293" s="1">
        <f>YEAR(W_カレンダー[[#This Row],[日付]])</f>
        <v>2026</v>
      </c>
      <c r="D1293" s="1">
        <f>IF(W_カレンダー[[#This Row],[月]]&lt;=3,W_カレンダー[[#This Row],[暦年]]-1,W_カレンダー[[#This Row],[暦年]])</f>
        <v>2026</v>
      </c>
      <c r="E1293" s="1" t="str">
        <f>IF(W_カレンダー[[#This Row],[月]]&lt;=3,"Q4",IF(W_カレンダー[[#This Row],[月]]&lt;=6,"Q1",IF(W_カレンダー[[#This Row],[月]]&lt;=9,"Q2","Q3")))</f>
        <v>Q3</v>
      </c>
    </row>
    <row r="1294" spans="1:5" ht="18" customHeight="1" x14ac:dyDescent="0.25">
      <c r="A1294" s="27">
        <v>46309</v>
      </c>
      <c r="B1294" s="29">
        <f>MONTH(W_カレンダー[[#This Row],[日付]])</f>
        <v>10</v>
      </c>
      <c r="C1294" s="1">
        <f>YEAR(W_カレンダー[[#This Row],[日付]])</f>
        <v>2026</v>
      </c>
      <c r="D1294" s="1">
        <f>IF(W_カレンダー[[#This Row],[月]]&lt;=3,W_カレンダー[[#This Row],[暦年]]-1,W_カレンダー[[#This Row],[暦年]])</f>
        <v>2026</v>
      </c>
      <c r="E1294" s="1" t="str">
        <f>IF(W_カレンダー[[#This Row],[月]]&lt;=3,"Q4",IF(W_カレンダー[[#This Row],[月]]&lt;=6,"Q1",IF(W_カレンダー[[#This Row],[月]]&lt;=9,"Q2","Q3")))</f>
        <v>Q3</v>
      </c>
    </row>
    <row r="1295" spans="1:5" ht="18" customHeight="1" x14ac:dyDescent="0.25">
      <c r="A1295" s="27">
        <v>46310</v>
      </c>
      <c r="B1295" s="29">
        <f>MONTH(W_カレンダー[[#This Row],[日付]])</f>
        <v>10</v>
      </c>
      <c r="C1295" s="1">
        <f>YEAR(W_カレンダー[[#This Row],[日付]])</f>
        <v>2026</v>
      </c>
      <c r="D1295" s="1">
        <f>IF(W_カレンダー[[#This Row],[月]]&lt;=3,W_カレンダー[[#This Row],[暦年]]-1,W_カレンダー[[#This Row],[暦年]])</f>
        <v>2026</v>
      </c>
      <c r="E1295" s="1" t="str">
        <f>IF(W_カレンダー[[#This Row],[月]]&lt;=3,"Q4",IF(W_カレンダー[[#This Row],[月]]&lt;=6,"Q1",IF(W_カレンダー[[#This Row],[月]]&lt;=9,"Q2","Q3")))</f>
        <v>Q3</v>
      </c>
    </row>
    <row r="1296" spans="1:5" ht="18" customHeight="1" x14ac:dyDescent="0.25">
      <c r="A1296" s="27">
        <v>46311</v>
      </c>
      <c r="B1296" s="29">
        <f>MONTH(W_カレンダー[[#This Row],[日付]])</f>
        <v>10</v>
      </c>
      <c r="C1296" s="1">
        <f>YEAR(W_カレンダー[[#This Row],[日付]])</f>
        <v>2026</v>
      </c>
      <c r="D1296" s="1">
        <f>IF(W_カレンダー[[#This Row],[月]]&lt;=3,W_カレンダー[[#This Row],[暦年]]-1,W_カレンダー[[#This Row],[暦年]])</f>
        <v>2026</v>
      </c>
      <c r="E1296" s="1" t="str">
        <f>IF(W_カレンダー[[#This Row],[月]]&lt;=3,"Q4",IF(W_カレンダー[[#This Row],[月]]&lt;=6,"Q1",IF(W_カレンダー[[#This Row],[月]]&lt;=9,"Q2","Q3")))</f>
        <v>Q3</v>
      </c>
    </row>
    <row r="1297" spans="1:5" ht="18" customHeight="1" x14ac:dyDescent="0.25">
      <c r="A1297" s="27">
        <v>46312</v>
      </c>
      <c r="B1297" s="29">
        <f>MONTH(W_カレンダー[[#This Row],[日付]])</f>
        <v>10</v>
      </c>
      <c r="C1297" s="1">
        <f>YEAR(W_カレンダー[[#This Row],[日付]])</f>
        <v>2026</v>
      </c>
      <c r="D1297" s="1">
        <f>IF(W_カレンダー[[#This Row],[月]]&lt;=3,W_カレンダー[[#This Row],[暦年]]-1,W_カレンダー[[#This Row],[暦年]])</f>
        <v>2026</v>
      </c>
      <c r="E1297" s="1" t="str">
        <f>IF(W_カレンダー[[#This Row],[月]]&lt;=3,"Q4",IF(W_カレンダー[[#This Row],[月]]&lt;=6,"Q1",IF(W_カレンダー[[#This Row],[月]]&lt;=9,"Q2","Q3")))</f>
        <v>Q3</v>
      </c>
    </row>
    <row r="1298" spans="1:5" ht="18" customHeight="1" x14ac:dyDescent="0.25">
      <c r="A1298" s="27">
        <v>46313</v>
      </c>
      <c r="B1298" s="29">
        <f>MONTH(W_カレンダー[[#This Row],[日付]])</f>
        <v>10</v>
      </c>
      <c r="C1298" s="1">
        <f>YEAR(W_カレンダー[[#This Row],[日付]])</f>
        <v>2026</v>
      </c>
      <c r="D1298" s="1">
        <f>IF(W_カレンダー[[#This Row],[月]]&lt;=3,W_カレンダー[[#This Row],[暦年]]-1,W_カレンダー[[#This Row],[暦年]])</f>
        <v>2026</v>
      </c>
      <c r="E1298" s="1" t="str">
        <f>IF(W_カレンダー[[#This Row],[月]]&lt;=3,"Q4",IF(W_カレンダー[[#This Row],[月]]&lt;=6,"Q1",IF(W_カレンダー[[#This Row],[月]]&lt;=9,"Q2","Q3")))</f>
        <v>Q3</v>
      </c>
    </row>
    <row r="1299" spans="1:5" ht="18" customHeight="1" x14ac:dyDescent="0.25">
      <c r="A1299" s="27">
        <v>46314</v>
      </c>
      <c r="B1299" s="29">
        <f>MONTH(W_カレンダー[[#This Row],[日付]])</f>
        <v>10</v>
      </c>
      <c r="C1299" s="1">
        <f>YEAR(W_カレンダー[[#This Row],[日付]])</f>
        <v>2026</v>
      </c>
      <c r="D1299" s="1">
        <f>IF(W_カレンダー[[#This Row],[月]]&lt;=3,W_カレンダー[[#This Row],[暦年]]-1,W_カレンダー[[#This Row],[暦年]])</f>
        <v>2026</v>
      </c>
      <c r="E1299" s="1" t="str">
        <f>IF(W_カレンダー[[#This Row],[月]]&lt;=3,"Q4",IF(W_カレンダー[[#This Row],[月]]&lt;=6,"Q1",IF(W_カレンダー[[#This Row],[月]]&lt;=9,"Q2","Q3")))</f>
        <v>Q3</v>
      </c>
    </row>
    <row r="1300" spans="1:5" ht="18" customHeight="1" x14ac:dyDescent="0.25">
      <c r="A1300" s="27">
        <v>46315</v>
      </c>
      <c r="B1300" s="29">
        <f>MONTH(W_カレンダー[[#This Row],[日付]])</f>
        <v>10</v>
      </c>
      <c r="C1300" s="1">
        <f>YEAR(W_カレンダー[[#This Row],[日付]])</f>
        <v>2026</v>
      </c>
      <c r="D1300" s="1">
        <f>IF(W_カレンダー[[#This Row],[月]]&lt;=3,W_カレンダー[[#This Row],[暦年]]-1,W_カレンダー[[#This Row],[暦年]])</f>
        <v>2026</v>
      </c>
      <c r="E1300" s="1" t="str">
        <f>IF(W_カレンダー[[#This Row],[月]]&lt;=3,"Q4",IF(W_カレンダー[[#This Row],[月]]&lt;=6,"Q1",IF(W_カレンダー[[#This Row],[月]]&lt;=9,"Q2","Q3")))</f>
        <v>Q3</v>
      </c>
    </row>
    <row r="1301" spans="1:5" ht="18" customHeight="1" x14ac:dyDescent="0.25">
      <c r="A1301" s="27">
        <v>46316</v>
      </c>
      <c r="B1301" s="29">
        <f>MONTH(W_カレンダー[[#This Row],[日付]])</f>
        <v>10</v>
      </c>
      <c r="C1301" s="1">
        <f>YEAR(W_カレンダー[[#This Row],[日付]])</f>
        <v>2026</v>
      </c>
      <c r="D1301" s="1">
        <f>IF(W_カレンダー[[#This Row],[月]]&lt;=3,W_カレンダー[[#This Row],[暦年]]-1,W_カレンダー[[#This Row],[暦年]])</f>
        <v>2026</v>
      </c>
      <c r="E1301" s="1" t="str">
        <f>IF(W_カレンダー[[#This Row],[月]]&lt;=3,"Q4",IF(W_カレンダー[[#This Row],[月]]&lt;=6,"Q1",IF(W_カレンダー[[#This Row],[月]]&lt;=9,"Q2","Q3")))</f>
        <v>Q3</v>
      </c>
    </row>
    <row r="1302" spans="1:5" ht="18" customHeight="1" x14ac:dyDescent="0.25">
      <c r="A1302" s="27">
        <v>46317</v>
      </c>
      <c r="B1302" s="29">
        <f>MONTH(W_カレンダー[[#This Row],[日付]])</f>
        <v>10</v>
      </c>
      <c r="C1302" s="1">
        <f>YEAR(W_カレンダー[[#This Row],[日付]])</f>
        <v>2026</v>
      </c>
      <c r="D1302" s="1">
        <f>IF(W_カレンダー[[#This Row],[月]]&lt;=3,W_カレンダー[[#This Row],[暦年]]-1,W_カレンダー[[#This Row],[暦年]])</f>
        <v>2026</v>
      </c>
      <c r="E1302" s="1" t="str">
        <f>IF(W_カレンダー[[#This Row],[月]]&lt;=3,"Q4",IF(W_カレンダー[[#This Row],[月]]&lt;=6,"Q1",IF(W_カレンダー[[#This Row],[月]]&lt;=9,"Q2","Q3")))</f>
        <v>Q3</v>
      </c>
    </row>
    <row r="1303" spans="1:5" ht="18" customHeight="1" x14ac:dyDescent="0.25">
      <c r="A1303" s="27">
        <v>46318</v>
      </c>
      <c r="B1303" s="29">
        <f>MONTH(W_カレンダー[[#This Row],[日付]])</f>
        <v>10</v>
      </c>
      <c r="C1303" s="1">
        <f>YEAR(W_カレンダー[[#This Row],[日付]])</f>
        <v>2026</v>
      </c>
      <c r="D1303" s="1">
        <f>IF(W_カレンダー[[#This Row],[月]]&lt;=3,W_カレンダー[[#This Row],[暦年]]-1,W_カレンダー[[#This Row],[暦年]])</f>
        <v>2026</v>
      </c>
      <c r="E1303" s="1" t="str">
        <f>IF(W_カレンダー[[#This Row],[月]]&lt;=3,"Q4",IF(W_カレンダー[[#This Row],[月]]&lt;=6,"Q1",IF(W_カレンダー[[#This Row],[月]]&lt;=9,"Q2","Q3")))</f>
        <v>Q3</v>
      </c>
    </row>
    <row r="1304" spans="1:5" ht="18" customHeight="1" x14ac:dyDescent="0.25">
      <c r="A1304" s="27">
        <v>46319</v>
      </c>
      <c r="B1304" s="29">
        <f>MONTH(W_カレンダー[[#This Row],[日付]])</f>
        <v>10</v>
      </c>
      <c r="C1304" s="1">
        <f>YEAR(W_カレンダー[[#This Row],[日付]])</f>
        <v>2026</v>
      </c>
      <c r="D1304" s="1">
        <f>IF(W_カレンダー[[#This Row],[月]]&lt;=3,W_カレンダー[[#This Row],[暦年]]-1,W_カレンダー[[#This Row],[暦年]])</f>
        <v>2026</v>
      </c>
      <c r="E1304" s="1" t="str">
        <f>IF(W_カレンダー[[#This Row],[月]]&lt;=3,"Q4",IF(W_カレンダー[[#This Row],[月]]&lt;=6,"Q1",IF(W_カレンダー[[#This Row],[月]]&lt;=9,"Q2","Q3")))</f>
        <v>Q3</v>
      </c>
    </row>
    <row r="1305" spans="1:5" ht="18" customHeight="1" x14ac:dyDescent="0.25">
      <c r="A1305" s="27">
        <v>46320</v>
      </c>
      <c r="B1305" s="29">
        <f>MONTH(W_カレンダー[[#This Row],[日付]])</f>
        <v>10</v>
      </c>
      <c r="C1305" s="1">
        <f>YEAR(W_カレンダー[[#This Row],[日付]])</f>
        <v>2026</v>
      </c>
      <c r="D1305" s="1">
        <f>IF(W_カレンダー[[#This Row],[月]]&lt;=3,W_カレンダー[[#This Row],[暦年]]-1,W_カレンダー[[#This Row],[暦年]])</f>
        <v>2026</v>
      </c>
      <c r="E1305" s="1" t="str">
        <f>IF(W_カレンダー[[#This Row],[月]]&lt;=3,"Q4",IF(W_カレンダー[[#This Row],[月]]&lt;=6,"Q1",IF(W_カレンダー[[#This Row],[月]]&lt;=9,"Q2","Q3")))</f>
        <v>Q3</v>
      </c>
    </row>
    <row r="1306" spans="1:5" ht="18" customHeight="1" x14ac:dyDescent="0.25">
      <c r="A1306" s="27">
        <v>46321</v>
      </c>
      <c r="B1306" s="29">
        <f>MONTH(W_カレンダー[[#This Row],[日付]])</f>
        <v>10</v>
      </c>
      <c r="C1306" s="1">
        <f>YEAR(W_カレンダー[[#This Row],[日付]])</f>
        <v>2026</v>
      </c>
      <c r="D1306" s="1">
        <f>IF(W_カレンダー[[#This Row],[月]]&lt;=3,W_カレンダー[[#This Row],[暦年]]-1,W_カレンダー[[#This Row],[暦年]])</f>
        <v>2026</v>
      </c>
      <c r="E1306" s="1" t="str">
        <f>IF(W_カレンダー[[#This Row],[月]]&lt;=3,"Q4",IF(W_カレンダー[[#This Row],[月]]&lt;=6,"Q1",IF(W_カレンダー[[#This Row],[月]]&lt;=9,"Q2","Q3")))</f>
        <v>Q3</v>
      </c>
    </row>
    <row r="1307" spans="1:5" ht="18" customHeight="1" x14ac:dyDescent="0.25">
      <c r="A1307" s="27">
        <v>46322</v>
      </c>
      <c r="B1307" s="29">
        <f>MONTH(W_カレンダー[[#This Row],[日付]])</f>
        <v>10</v>
      </c>
      <c r="C1307" s="1">
        <f>YEAR(W_カレンダー[[#This Row],[日付]])</f>
        <v>2026</v>
      </c>
      <c r="D1307" s="1">
        <f>IF(W_カレンダー[[#This Row],[月]]&lt;=3,W_カレンダー[[#This Row],[暦年]]-1,W_カレンダー[[#This Row],[暦年]])</f>
        <v>2026</v>
      </c>
      <c r="E1307" s="1" t="str">
        <f>IF(W_カレンダー[[#This Row],[月]]&lt;=3,"Q4",IF(W_カレンダー[[#This Row],[月]]&lt;=6,"Q1",IF(W_カレンダー[[#This Row],[月]]&lt;=9,"Q2","Q3")))</f>
        <v>Q3</v>
      </c>
    </row>
    <row r="1308" spans="1:5" ht="18" customHeight="1" x14ac:dyDescent="0.25">
      <c r="A1308" s="27">
        <v>46323</v>
      </c>
      <c r="B1308" s="29">
        <f>MONTH(W_カレンダー[[#This Row],[日付]])</f>
        <v>10</v>
      </c>
      <c r="C1308" s="1">
        <f>YEAR(W_カレンダー[[#This Row],[日付]])</f>
        <v>2026</v>
      </c>
      <c r="D1308" s="1">
        <f>IF(W_カレンダー[[#This Row],[月]]&lt;=3,W_カレンダー[[#This Row],[暦年]]-1,W_カレンダー[[#This Row],[暦年]])</f>
        <v>2026</v>
      </c>
      <c r="E1308" s="1" t="str">
        <f>IF(W_カレンダー[[#This Row],[月]]&lt;=3,"Q4",IF(W_カレンダー[[#This Row],[月]]&lt;=6,"Q1",IF(W_カレンダー[[#This Row],[月]]&lt;=9,"Q2","Q3")))</f>
        <v>Q3</v>
      </c>
    </row>
    <row r="1309" spans="1:5" ht="18" customHeight="1" x14ac:dyDescent="0.25">
      <c r="A1309" s="27">
        <v>46324</v>
      </c>
      <c r="B1309" s="29">
        <f>MONTH(W_カレンダー[[#This Row],[日付]])</f>
        <v>10</v>
      </c>
      <c r="C1309" s="1">
        <f>YEAR(W_カレンダー[[#This Row],[日付]])</f>
        <v>2026</v>
      </c>
      <c r="D1309" s="1">
        <f>IF(W_カレンダー[[#This Row],[月]]&lt;=3,W_カレンダー[[#This Row],[暦年]]-1,W_カレンダー[[#This Row],[暦年]])</f>
        <v>2026</v>
      </c>
      <c r="E1309" s="1" t="str">
        <f>IF(W_カレンダー[[#This Row],[月]]&lt;=3,"Q4",IF(W_カレンダー[[#This Row],[月]]&lt;=6,"Q1",IF(W_カレンダー[[#This Row],[月]]&lt;=9,"Q2","Q3")))</f>
        <v>Q3</v>
      </c>
    </row>
    <row r="1310" spans="1:5" ht="18" customHeight="1" x14ac:dyDescent="0.25">
      <c r="A1310" s="27">
        <v>46325</v>
      </c>
      <c r="B1310" s="29">
        <f>MONTH(W_カレンダー[[#This Row],[日付]])</f>
        <v>10</v>
      </c>
      <c r="C1310" s="1">
        <f>YEAR(W_カレンダー[[#This Row],[日付]])</f>
        <v>2026</v>
      </c>
      <c r="D1310" s="1">
        <f>IF(W_カレンダー[[#This Row],[月]]&lt;=3,W_カレンダー[[#This Row],[暦年]]-1,W_カレンダー[[#This Row],[暦年]])</f>
        <v>2026</v>
      </c>
      <c r="E1310" s="1" t="str">
        <f>IF(W_カレンダー[[#This Row],[月]]&lt;=3,"Q4",IF(W_カレンダー[[#This Row],[月]]&lt;=6,"Q1",IF(W_カレンダー[[#This Row],[月]]&lt;=9,"Q2","Q3")))</f>
        <v>Q3</v>
      </c>
    </row>
    <row r="1311" spans="1:5" ht="18" customHeight="1" x14ac:dyDescent="0.25">
      <c r="A1311" s="27">
        <v>46326</v>
      </c>
      <c r="B1311" s="29">
        <f>MONTH(W_カレンダー[[#This Row],[日付]])</f>
        <v>10</v>
      </c>
      <c r="C1311" s="1">
        <f>YEAR(W_カレンダー[[#This Row],[日付]])</f>
        <v>2026</v>
      </c>
      <c r="D1311" s="1">
        <f>IF(W_カレンダー[[#This Row],[月]]&lt;=3,W_カレンダー[[#This Row],[暦年]]-1,W_カレンダー[[#This Row],[暦年]])</f>
        <v>2026</v>
      </c>
      <c r="E1311" s="1" t="str">
        <f>IF(W_カレンダー[[#This Row],[月]]&lt;=3,"Q4",IF(W_カレンダー[[#This Row],[月]]&lt;=6,"Q1",IF(W_カレンダー[[#This Row],[月]]&lt;=9,"Q2","Q3")))</f>
        <v>Q3</v>
      </c>
    </row>
    <row r="1312" spans="1:5" ht="18" customHeight="1" x14ac:dyDescent="0.25">
      <c r="A1312" s="27">
        <v>46327</v>
      </c>
      <c r="B1312" s="29">
        <f>MONTH(W_カレンダー[[#This Row],[日付]])</f>
        <v>11</v>
      </c>
      <c r="C1312" s="1">
        <f>YEAR(W_カレンダー[[#This Row],[日付]])</f>
        <v>2026</v>
      </c>
      <c r="D1312" s="1">
        <f>IF(W_カレンダー[[#This Row],[月]]&lt;=3,W_カレンダー[[#This Row],[暦年]]-1,W_カレンダー[[#This Row],[暦年]])</f>
        <v>2026</v>
      </c>
      <c r="E1312" s="1" t="str">
        <f>IF(W_カレンダー[[#This Row],[月]]&lt;=3,"Q4",IF(W_カレンダー[[#This Row],[月]]&lt;=6,"Q1",IF(W_カレンダー[[#This Row],[月]]&lt;=9,"Q2","Q3")))</f>
        <v>Q3</v>
      </c>
    </row>
    <row r="1313" spans="1:5" ht="18" customHeight="1" x14ac:dyDescent="0.25">
      <c r="A1313" s="27">
        <v>46328</v>
      </c>
      <c r="B1313" s="29">
        <f>MONTH(W_カレンダー[[#This Row],[日付]])</f>
        <v>11</v>
      </c>
      <c r="C1313" s="1">
        <f>YEAR(W_カレンダー[[#This Row],[日付]])</f>
        <v>2026</v>
      </c>
      <c r="D1313" s="1">
        <f>IF(W_カレンダー[[#This Row],[月]]&lt;=3,W_カレンダー[[#This Row],[暦年]]-1,W_カレンダー[[#This Row],[暦年]])</f>
        <v>2026</v>
      </c>
      <c r="E1313" s="1" t="str">
        <f>IF(W_カレンダー[[#This Row],[月]]&lt;=3,"Q4",IF(W_カレンダー[[#This Row],[月]]&lt;=6,"Q1",IF(W_カレンダー[[#This Row],[月]]&lt;=9,"Q2","Q3")))</f>
        <v>Q3</v>
      </c>
    </row>
    <row r="1314" spans="1:5" ht="18" customHeight="1" x14ac:dyDescent="0.25">
      <c r="A1314" s="27">
        <v>46329</v>
      </c>
      <c r="B1314" s="29">
        <f>MONTH(W_カレンダー[[#This Row],[日付]])</f>
        <v>11</v>
      </c>
      <c r="C1314" s="1">
        <f>YEAR(W_カレンダー[[#This Row],[日付]])</f>
        <v>2026</v>
      </c>
      <c r="D1314" s="1">
        <f>IF(W_カレンダー[[#This Row],[月]]&lt;=3,W_カレンダー[[#This Row],[暦年]]-1,W_カレンダー[[#This Row],[暦年]])</f>
        <v>2026</v>
      </c>
      <c r="E1314" s="1" t="str">
        <f>IF(W_カレンダー[[#This Row],[月]]&lt;=3,"Q4",IF(W_カレンダー[[#This Row],[月]]&lt;=6,"Q1",IF(W_カレンダー[[#This Row],[月]]&lt;=9,"Q2","Q3")))</f>
        <v>Q3</v>
      </c>
    </row>
    <row r="1315" spans="1:5" ht="18" customHeight="1" x14ac:dyDescent="0.25">
      <c r="A1315" s="27">
        <v>46330</v>
      </c>
      <c r="B1315" s="29">
        <f>MONTH(W_カレンダー[[#This Row],[日付]])</f>
        <v>11</v>
      </c>
      <c r="C1315" s="1">
        <f>YEAR(W_カレンダー[[#This Row],[日付]])</f>
        <v>2026</v>
      </c>
      <c r="D1315" s="1">
        <f>IF(W_カレンダー[[#This Row],[月]]&lt;=3,W_カレンダー[[#This Row],[暦年]]-1,W_カレンダー[[#This Row],[暦年]])</f>
        <v>2026</v>
      </c>
      <c r="E1315" s="1" t="str">
        <f>IF(W_カレンダー[[#This Row],[月]]&lt;=3,"Q4",IF(W_カレンダー[[#This Row],[月]]&lt;=6,"Q1",IF(W_カレンダー[[#This Row],[月]]&lt;=9,"Q2","Q3")))</f>
        <v>Q3</v>
      </c>
    </row>
    <row r="1316" spans="1:5" ht="18" customHeight="1" x14ac:dyDescent="0.25">
      <c r="A1316" s="27">
        <v>46331</v>
      </c>
      <c r="B1316" s="29">
        <f>MONTH(W_カレンダー[[#This Row],[日付]])</f>
        <v>11</v>
      </c>
      <c r="C1316" s="1">
        <f>YEAR(W_カレンダー[[#This Row],[日付]])</f>
        <v>2026</v>
      </c>
      <c r="D1316" s="1">
        <f>IF(W_カレンダー[[#This Row],[月]]&lt;=3,W_カレンダー[[#This Row],[暦年]]-1,W_カレンダー[[#This Row],[暦年]])</f>
        <v>2026</v>
      </c>
      <c r="E1316" s="1" t="str">
        <f>IF(W_カレンダー[[#This Row],[月]]&lt;=3,"Q4",IF(W_カレンダー[[#This Row],[月]]&lt;=6,"Q1",IF(W_カレンダー[[#This Row],[月]]&lt;=9,"Q2","Q3")))</f>
        <v>Q3</v>
      </c>
    </row>
    <row r="1317" spans="1:5" ht="18" customHeight="1" x14ac:dyDescent="0.25">
      <c r="A1317" s="27">
        <v>46332</v>
      </c>
      <c r="B1317" s="29">
        <f>MONTH(W_カレンダー[[#This Row],[日付]])</f>
        <v>11</v>
      </c>
      <c r="C1317" s="1">
        <f>YEAR(W_カレンダー[[#This Row],[日付]])</f>
        <v>2026</v>
      </c>
      <c r="D1317" s="1">
        <f>IF(W_カレンダー[[#This Row],[月]]&lt;=3,W_カレンダー[[#This Row],[暦年]]-1,W_カレンダー[[#This Row],[暦年]])</f>
        <v>2026</v>
      </c>
      <c r="E1317" s="1" t="str">
        <f>IF(W_カレンダー[[#This Row],[月]]&lt;=3,"Q4",IF(W_カレンダー[[#This Row],[月]]&lt;=6,"Q1",IF(W_カレンダー[[#This Row],[月]]&lt;=9,"Q2","Q3")))</f>
        <v>Q3</v>
      </c>
    </row>
    <row r="1318" spans="1:5" ht="18" customHeight="1" x14ac:dyDescent="0.25">
      <c r="A1318" s="27">
        <v>46333</v>
      </c>
      <c r="B1318" s="29">
        <f>MONTH(W_カレンダー[[#This Row],[日付]])</f>
        <v>11</v>
      </c>
      <c r="C1318" s="1">
        <f>YEAR(W_カレンダー[[#This Row],[日付]])</f>
        <v>2026</v>
      </c>
      <c r="D1318" s="1">
        <f>IF(W_カレンダー[[#This Row],[月]]&lt;=3,W_カレンダー[[#This Row],[暦年]]-1,W_カレンダー[[#This Row],[暦年]])</f>
        <v>2026</v>
      </c>
      <c r="E1318" s="1" t="str">
        <f>IF(W_カレンダー[[#This Row],[月]]&lt;=3,"Q4",IF(W_カレンダー[[#This Row],[月]]&lt;=6,"Q1",IF(W_カレンダー[[#This Row],[月]]&lt;=9,"Q2","Q3")))</f>
        <v>Q3</v>
      </c>
    </row>
    <row r="1319" spans="1:5" ht="18" customHeight="1" x14ac:dyDescent="0.25">
      <c r="A1319" s="27">
        <v>46334</v>
      </c>
      <c r="B1319" s="29">
        <f>MONTH(W_カレンダー[[#This Row],[日付]])</f>
        <v>11</v>
      </c>
      <c r="C1319" s="1">
        <f>YEAR(W_カレンダー[[#This Row],[日付]])</f>
        <v>2026</v>
      </c>
      <c r="D1319" s="1">
        <f>IF(W_カレンダー[[#This Row],[月]]&lt;=3,W_カレンダー[[#This Row],[暦年]]-1,W_カレンダー[[#This Row],[暦年]])</f>
        <v>2026</v>
      </c>
      <c r="E1319" s="1" t="str">
        <f>IF(W_カレンダー[[#This Row],[月]]&lt;=3,"Q4",IF(W_カレンダー[[#This Row],[月]]&lt;=6,"Q1",IF(W_カレンダー[[#This Row],[月]]&lt;=9,"Q2","Q3")))</f>
        <v>Q3</v>
      </c>
    </row>
    <row r="1320" spans="1:5" ht="18" customHeight="1" x14ac:dyDescent="0.25">
      <c r="A1320" s="27">
        <v>46335</v>
      </c>
      <c r="B1320" s="29">
        <f>MONTH(W_カレンダー[[#This Row],[日付]])</f>
        <v>11</v>
      </c>
      <c r="C1320" s="1">
        <f>YEAR(W_カレンダー[[#This Row],[日付]])</f>
        <v>2026</v>
      </c>
      <c r="D1320" s="1">
        <f>IF(W_カレンダー[[#This Row],[月]]&lt;=3,W_カレンダー[[#This Row],[暦年]]-1,W_カレンダー[[#This Row],[暦年]])</f>
        <v>2026</v>
      </c>
      <c r="E1320" s="1" t="str">
        <f>IF(W_カレンダー[[#This Row],[月]]&lt;=3,"Q4",IF(W_カレンダー[[#This Row],[月]]&lt;=6,"Q1",IF(W_カレンダー[[#This Row],[月]]&lt;=9,"Q2","Q3")))</f>
        <v>Q3</v>
      </c>
    </row>
    <row r="1321" spans="1:5" ht="18" customHeight="1" x14ac:dyDescent="0.25">
      <c r="A1321" s="27">
        <v>46336</v>
      </c>
      <c r="B1321" s="29">
        <f>MONTH(W_カレンダー[[#This Row],[日付]])</f>
        <v>11</v>
      </c>
      <c r="C1321" s="1">
        <f>YEAR(W_カレンダー[[#This Row],[日付]])</f>
        <v>2026</v>
      </c>
      <c r="D1321" s="1">
        <f>IF(W_カレンダー[[#This Row],[月]]&lt;=3,W_カレンダー[[#This Row],[暦年]]-1,W_カレンダー[[#This Row],[暦年]])</f>
        <v>2026</v>
      </c>
      <c r="E1321" s="1" t="str">
        <f>IF(W_カレンダー[[#This Row],[月]]&lt;=3,"Q4",IF(W_カレンダー[[#This Row],[月]]&lt;=6,"Q1",IF(W_カレンダー[[#This Row],[月]]&lt;=9,"Q2","Q3")))</f>
        <v>Q3</v>
      </c>
    </row>
    <row r="1322" spans="1:5" ht="18" customHeight="1" x14ac:dyDescent="0.25">
      <c r="A1322" s="27">
        <v>46337</v>
      </c>
      <c r="B1322" s="29">
        <f>MONTH(W_カレンダー[[#This Row],[日付]])</f>
        <v>11</v>
      </c>
      <c r="C1322" s="1">
        <f>YEAR(W_カレンダー[[#This Row],[日付]])</f>
        <v>2026</v>
      </c>
      <c r="D1322" s="1">
        <f>IF(W_カレンダー[[#This Row],[月]]&lt;=3,W_カレンダー[[#This Row],[暦年]]-1,W_カレンダー[[#This Row],[暦年]])</f>
        <v>2026</v>
      </c>
      <c r="E1322" s="1" t="str">
        <f>IF(W_カレンダー[[#This Row],[月]]&lt;=3,"Q4",IF(W_カレンダー[[#This Row],[月]]&lt;=6,"Q1",IF(W_カレンダー[[#This Row],[月]]&lt;=9,"Q2","Q3")))</f>
        <v>Q3</v>
      </c>
    </row>
    <row r="1323" spans="1:5" ht="18" customHeight="1" x14ac:dyDescent="0.25">
      <c r="A1323" s="27">
        <v>46338</v>
      </c>
      <c r="B1323" s="29">
        <f>MONTH(W_カレンダー[[#This Row],[日付]])</f>
        <v>11</v>
      </c>
      <c r="C1323" s="1">
        <f>YEAR(W_カレンダー[[#This Row],[日付]])</f>
        <v>2026</v>
      </c>
      <c r="D1323" s="1">
        <f>IF(W_カレンダー[[#This Row],[月]]&lt;=3,W_カレンダー[[#This Row],[暦年]]-1,W_カレンダー[[#This Row],[暦年]])</f>
        <v>2026</v>
      </c>
      <c r="E1323" s="1" t="str">
        <f>IF(W_カレンダー[[#This Row],[月]]&lt;=3,"Q4",IF(W_カレンダー[[#This Row],[月]]&lt;=6,"Q1",IF(W_カレンダー[[#This Row],[月]]&lt;=9,"Q2","Q3")))</f>
        <v>Q3</v>
      </c>
    </row>
    <row r="1324" spans="1:5" ht="18" customHeight="1" x14ac:dyDescent="0.25">
      <c r="A1324" s="27">
        <v>46339</v>
      </c>
      <c r="B1324" s="29">
        <f>MONTH(W_カレンダー[[#This Row],[日付]])</f>
        <v>11</v>
      </c>
      <c r="C1324" s="1">
        <f>YEAR(W_カレンダー[[#This Row],[日付]])</f>
        <v>2026</v>
      </c>
      <c r="D1324" s="1">
        <f>IF(W_カレンダー[[#This Row],[月]]&lt;=3,W_カレンダー[[#This Row],[暦年]]-1,W_カレンダー[[#This Row],[暦年]])</f>
        <v>2026</v>
      </c>
      <c r="E1324" s="1" t="str">
        <f>IF(W_カレンダー[[#This Row],[月]]&lt;=3,"Q4",IF(W_カレンダー[[#This Row],[月]]&lt;=6,"Q1",IF(W_カレンダー[[#This Row],[月]]&lt;=9,"Q2","Q3")))</f>
        <v>Q3</v>
      </c>
    </row>
    <row r="1325" spans="1:5" ht="18" customHeight="1" x14ac:dyDescent="0.25">
      <c r="A1325" s="27">
        <v>46340</v>
      </c>
      <c r="B1325" s="29">
        <f>MONTH(W_カレンダー[[#This Row],[日付]])</f>
        <v>11</v>
      </c>
      <c r="C1325" s="1">
        <f>YEAR(W_カレンダー[[#This Row],[日付]])</f>
        <v>2026</v>
      </c>
      <c r="D1325" s="1">
        <f>IF(W_カレンダー[[#This Row],[月]]&lt;=3,W_カレンダー[[#This Row],[暦年]]-1,W_カレンダー[[#This Row],[暦年]])</f>
        <v>2026</v>
      </c>
      <c r="E1325" s="1" t="str">
        <f>IF(W_カレンダー[[#This Row],[月]]&lt;=3,"Q4",IF(W_カレンダー[[#This Row],[月]]&lt;=6,"Q1",IF(W_カレンダー[[#This Row],[月]]&lt;=9,"Q2","Q3")))</f>
        <v>Q3</v>
      </c>
    </row>
    <row r="1326" spans="1:5" ht="18" customHeight="1" x14ac:dyDescent="0.25">
      <c r="A1326" s="27">
        <v>46341</v>
      </c>
      <c r="B1326" s="29">
        <f>MONTH(W_カレンダー[[#This Row],[日付]])</f>
        <v>11</v>
      </c>
      <c r="C1326" s="1">
        <f>YEAR(W_カレンダー[[#This Row],[日付]])</f>
        <v>2026</v>
      </c>
      <c r="D1326" s="1">
        <f>IF(W_カレンダー[[#This Row],[月]]&lt;=3,W_カレンダー[[#This Row],[暦年]]-1,W_カレンダー[[#This Row],[暦年]])</f>
        <v>2026</v>
      </c>
      <c r="E1326" s="1" t="str">
        <f>IF(W_カレンダー[[#This Row],[月]]&lt;=3,"Q4",IF(W_カレンダー[[#This Row],[月]]&lt;=6,"Q1",IF(W_カレンダー[[#This Row],[月]]&lt;=9,"Q2","Q3")))</f>
        <v>Q3</v>
      </c>
    </row>
    <row r="1327" spans="1:5" ht="18" customHeight="1" x14ac:dyDescent="0.25">
      <c r="A1327" s="27">
        <v>46342</v>
      </c>
      <c r="B1327" s="29">
        <f>MONTH(W_カレンダー[[#This Row],[日付]])</f>
        <v>11</v>
      </c>
      <c r="C1327" s="1">
        <f>YEAR(W_カレンダー[[#This Row],[日付]])</f>
        <v>2026</v>
      </c>
      <c r="D1327" s="1">
        <f>IF(W_カレンダー[[#This Row],[月]]&lt;=3,W_カレンダー[[#This Row],[暦年]]-1,W_カレンダー[[#This Row],[暦年]])</f>
        <v>2026</v>
      </c>
      <c r="E1327" s="1" t="str">
        <f>IF(W_カレンダー[[#This Row],[月]]&lt;=3,"Q4",IF(W_カレンダー[[#This Row],[月]]&lt;=6,"Q1",IF(W_カレンダー[[#This Row],[月]]&lt;=9,"Q2","Q3")))</f>
        <v>Q3</v>
      </c>
    </row>
    <row r="1328" spans="1:5" ht="18" customHeight="1" x14ac:dyDescent="0.25">
      <c r="A1328" s="27">
        <v>46343</v>
      </c>
      <c r="B1328" s="29">
        <f>MONTH(W_カレンダー[[#This Row],[日付]])</f>
        <v>11</v>
      </c>
      <c r="C1328" s="1">
        <f>YEAR(W_カレンダー[[#This Row],[日付]])</f>
        <v>2026</v>
      </c>
      <c r="D1328" s="1">
        <f>IF(W_カレンダー[[#This Row],[月]]&lt;=3,W_カレンダー[[#This Row],[暦年]]-1,W_カレンダー[[#This Row],[暦年]])</f>
        <v>2026</v>
      </c>
      <c r="E1328" s="1" t="str">
        <f>IF(W_カレンダー[[#This Row],[月]]&lt;=3,"Q4",IF(W_カレンダー[[#This Row],[月]]&lt;=6,"Q1",IF(W_カレンダー[[#This Row],[月]]&lt;=9,"Q2","Q3")))</f>
        <v>Q3</v>
      </c>
    </row>
    <row r="1329" spans="1:5" ht="18" customHeight="1" x14ac:dyDescent="0.25">
      <c r="A1329" s="27">
        <v>46344</v>
      </c>
      <c r="B1329" s="29">
        <f>MONTH(W_カレンダー[[#This Row],[日付]])</f>
        <v>11</v>
      </c>
      <c r="C1329" s="1">
        <f>YEAR(W_カレンダー[[#This Row],[日付]])</f>
        <v>2026</v>
      </c>
      <c r="D1329" s="1">
        <f>IF(W_カレンダー[[#This Row],[月]]&lt;=3,W_カレンダー[[#This Row],[暦年]]-1,W_カレンダー[[#This Row],[暦年]])</f>
        <v>2026</v>
      </c>
      <c r="E1329" s="1" t="str">
        <f>IF(W_カレンダー[[#This Row],[月]]&lt;=3,"Q4",IF(W_カレンダー[[#This Row],[月]]&lt;=6,"Q1",IF(W_カレンダー[[#This Row],[月]]&lt;=9,"Q2","Q3")))</f>
        <v>Q3</v>
      </c>
    </row>
    <row r="1330" spans="1:5" ht="18" customHeight="1" x14ac:dyDescent="0.25">
      <c r="A1330" s="27">
        <v>46345</v>
      </c>
      <c r="B1330" s="29">
        <f>MONTH(W_カレンダー[[#This Row],[日付]])</f>
        <v>11</v>
      </c>
      <c r="C1330" s="1">
        <f>YEAR(W_カレンダー[[#This Row],[日付]])</f>
        <v>2026</v>
      </c>
      <c r="D1330" s="1">
        <f>IF(W_カレンダー[[#This Row],[月]]&lt;=3,W_カレンダー[[#This Row],[暦年]]-1,W_カレンダー[[#This Row],[暦年]])</f>
        <v>2026</v>
      </c>
      <c r="E1330" s="1" t="str">
        <f>IF(W_カレンダー[[#This Row],[月]]&lt;=3,"Q4",IF(W_カレンダー[[#This Row],[月]]&lt;=6,"Q1",IF(W_カレンダー[[#This Row],[月]]&lt;=9,"Q2","Q3")))</f>
        <v>Q3</v>
      </c>
    </row>
    <row r="1331" spans="1:5" ht="18" customHeight="1" x14ac:dyDescent="0.25">
      <c r="A1331" s="27">
        <v>46346</v>
      </c>
      <c r="B1331" s="29">
        <f>MONTH(W_カレンダー[[#This Row],[日付]])</f>
        <v>11</v>
      </c>
      <c r="C1331" s="1">
        <f>YEAR(W_カレンダー[[#This Row],[日付]])</f>
        <v>2026</v>
      </c>
      <c r="D1331" s="1">
        <f>IF(W_カレンダー[[#This Row],[月]]&lt;=3,W_カレンダー[[#This Row],[暦年]]-1,W_カレンダー[[#This Row],[暦年]])</f>
        <v>2026</v>
      </c>
      <c r="E1331" s="1" t="str">
        <f>IF(W_カレンダー[[#This Row],[月]]&lt;=3,"Q4",IF(W_カレンダー[[#This Row],[月]]&lt;=6,"Q1",IF(W_カレンダー[[#This Row],[月]]&lt;=9,"Q2","Q3")))</f>
        <v>Q3</v>
      </c>
    </row>
    <row r="1332" spans="1:5" ht="18" customHeight="1" x14ac:dyDescent="0.25">
      <c r="A1332" s="27">
        <v>46347</v>
      </c>
      <c r="B1332" s="29">
        <f>MONTH(W_カレンダー[[#This Row],[日付]])</f>
        <v>11</v>
      </c>
      <c r="C1332" s="1">
        <f>YEAR(W_カレンダー[[#This Row],[日付]])</f>
        <v>2026</v>
      </c>
      <c r="D1332" s="1">
        <f>IF(W_カレンダー[[#This Row],[月]]&lt;=3,W_カレンダー[[#This Row],[暦年]]-1,W_カレンダー[[#This Row],[暦年]])</f>
        <v>2026</v>
      </c>
      <c r="E1332" s="1" t="str">
        <f>IF(W_カレンダー[[#This Row],[月]]&lt;=3,"Q4",IF(W_カレンダー[[#This Row],[月]]&lt;=6,"Q1",IF(W_カレンダー[[#This Row],[月]]&lt;=9,"Q2","Q3")))</f>
        <v>Q3</v>
      </c>
    </row>
    <row r="1333" spans="1:5" ht="18" customHeight="1" x14ac:dyDescent="0.25">
      <c r="A1333" s="27">
        <v>46348</v>
      </c>
      <c r="B1333" s="29">
        <f>MONTH(W_カレンダー[[#This Row],[日付]])</f>
        <v>11</v>
      </c>
      <c r="C1333" s="1">
        <f>YEAR(W_カレンダー[[#This Row],[日付]])</f>
        <v>2026</v>
      </c>
      <c r="D1333" s="1">
        <f>IF(W_カレンダー[[#This Row],[月]]&lt;=3,W_カレンダー[[#This Row],[暦年]]-1,W_カレンダー[[#This Row],[暦年]])</f>
        <v>2026</v>
      </c>
      <c r="E1333" s="1" t="str">
        <f>IF(W_カレンダー[[#This Row],[月]]&lt;=3,"Q4",IF(W_カレンダー[[#This Row],[月]]&lt;=6,"Q1",IF(W_カレンダー[[#This Row],[月]]&lt;=9,"Q2","Q3")))</f>
        <v>Q3</v>
      </c>
    </row>
    <row r="1334" spans="1:5" ht="18" customHeight="1" x14ac:dyDescent="0.25">
      <c r="A1334" s="27">
        <v>46349</v>
      </c>
      <c r="B1334" s="29">
        <f>MONTH(W_カレンダー[[#This Row],[日付]])</f>
        <v>11</v>
      </c>
      <c r="C1334" s="1">
        <f>YEAR(W_カレンダー[[#This Row],[日付]])</f>
        <v>2026</v>
      </c>
      <c r="D1334" s="1">
        <f>IF(W_カレンダー[[#This Row],[月]]&lt;=3,W_カレンダー[[#This Row],[暦年]]-1,W_カレンダー[[#This Row],[暦年]])</f>
        <v>2026</v>
      </c>
      <c r="E1334" s="1" t="str">
        <f>IF(W_カレンダー[[#This Row],[月]]&lt;=3,"Q4",IF(W_カレンダー[[#This Row],[月]]&lt;=6,"Q1",IF(W_カレンダー[[#This Row],[月]]&lt;=9,"Q2","Q3")))</f>
        <v>Q3</v>
      </c>
    </row>
    <row r="1335" spans="1:5" ht="18" customHeight="1" x14ac:dyDescent="0.25">
      <c r="A1335" s="27">
        <v>46350</v>
      </c>
      <c r="B1335" s="29">
        <f>MONTH(W_カレンダー[[#This Row],[日付]])</f>
        <v>11</v>
      </c>
      <c r="C1335" s="1">
        <f>YEAR(W_カレンダー[[#This Row],[日付]])</f>
        <v>2026</v>
      </c>
      <c r="D1335" s="1">
        <f>IF(W_カレンダー[[#This Row],[月]]&lt;=3,W_カレンダー[[#This Row],[暦年]]-1,W_カレンダー[[#This Row],[暦年]])</f>
        <v>2026</v>
      </c>
      <c r="E1335" s="1" t="str">
        <f>IF(W_カレンダー[[#This Row],[月]]&lt;=3,"Q4",IF(W_カレンダー[[#This Row],[月]]&lt;=6,"Q1",IF(W_カレンダー[[#This Row],[月]]&lt;=9,"Q2","Q3")))</f>
        <v>Q3</v>
      </c>
    </row>
    <row r="1336" spans="1:5" ht="18" customHeight="1" x14ac:dyDescent="0.25">
      <c r="A1336" s="27">
        <v>46351</v>
      </c>
      <c r="B1336" s="29">
        <f>MONTH(W_カレンダー[[#This Row],[日付]])</f>
        <v>11</v>
      </c>
      <c r="C1336" s="1">
        <f>YEAR(W_カレンダー[[#This Row],[日付]])</f>
        <v>2026</v>
      </c>
      <c r="D1336" s="1">
        <f>IF(W_カレンダー[[#This Row],[月]]&lt;=3,W_カレンダー[[#This Row],[暦年]]-1,W_カレンダー[[#This Row],[暦年]])</f>
        <v>2026</v>
      </c>
      <c r="E1336" s="1" t="str">
        <f>IF(W_カレンダー[[#This Row],[月]]&lt;=3,"Q4",IF(W_カレンダー[[#This Row],[月]]&lt;=6,"Q1",IF(W_カレンダー[[#This Row],[月]]&lt;=9,"Q2","Q3")))</f>
        <v>Q3</v>
      </c>
    </row>
    <row r="1337" spans="1:5" ht="18" customHeight="1" x14ac:dyDescent="0.25">
      <c r="A1337" s="27">
        <v>46352</v>
      </c>
      <c r="B1337" s="29">
        <f>MONTH(W_カレンダー[[#This Row],[日付]])</f>
        <v>11</v>
      </c>
      <c r="C1337" s="1">
        <f>YEAR(W_カレンダー[[#This Row],[日付]])</f>
        <v>2026</v>
      </c>
      <c r="D1337" s="1">
        <f>IF(W_カレンダー[[#This Row],[月]]&lt;=3,W_カレンダー[[#This Row],[暦年]]-1,W_カレンダー[[#This Row],[暦年]])</f>
        <v>2026</v>
      </c>
      <c r="E1337" s="1" t="str">
        <f>IF(W_カレンダー[[#This Row],[月]]&lt;=3,"Q4",IF(W_カレンダー[[#This Row],[月]]&lt;=6,"Q1",IF(W_カレンダー[[#This Row],[月]]&lt;=9,"Q2","Q3")))</f>
        <v>Q3</v>
      </c>
    </row>
    <row r="1338" spans="1:5" ht="18" customHeight="1" x14ac:dyDescent="0.25">
      <c r="A1338" s="27">
        <v>46353</v>
      </c>
      <c r="B1338" s="29">
        <f>MONTH(W_カレンダー[[#This Row],[日付]])</f>
        <v>11</v>
      </c>
      <c r="C1338" s="1">
        <f>YEAR(W_カレンダー[[#This Row],[日付]])</f>
        <v>2026</v>
      </c>
      <c r="D1338" s="1">
        <f>IF(W_カレンダー[[#This Row],[月]]&lt;=3,W_カレンダー[[#This Row],[暦年]]-1,W_カレンダー[[#This Row],[暦年]])</f>
        <v>2026</v>
      </c>
      <c r="E1338" s="1" t="str">
        <f>IF(W_カレンダー[[#This Row],[月]]&lt;=3,"Q4",IF(W_カレンダー[[#This Row],[月]]&lt;=6,"Q1",IF(W_カレンダー[[#This Row],[月]]&lt;=9,"Q2","Q3")))</f>
        <v>Q3</v>
      </c>
    </row>
    <row r="1339" spans="1:5" ht="18" customHeight="1" x14ac:dyDescent="0.25">
      <c r="A1339" s="27">
        <v>46354</v>
      </c>
      <c r="B1339" s="29">
        <f>MONTH(W_カレンダー[[#This Row],[日付]])</f>
        <v>11</v>
      </c>
      <c r="C1339" s="1">
        <f>YEAR(W_カレンダー[[#This Row],[日付]])</f>
        <v>2026</v>
      </c>
      <c r="D1339" s="1">
        <f>IF(W_カレンダー[[#This Row],[月]]&lt;=3,W_カレンダー[[#This Row],[暦年]]-1,W_カレンダー[[#This Row],[暦年]])</f>
        <v>2026</v>
      </c>
      <c r="E1339" s="1" t="str">
        <f>IF(W_カレンダー[[#This Row],[月]]&lt;=3,"Q4",IF(W_カレンダー[[#This Row],[月]]&lt;=6,"Q1",IF(W_カレンダー[[#This Row],[月]]&lt;=9,"Q2","Q3")))</f>
        <v>Q3</v>
      </c>
    </row>
    <row r="1340" spans="1:5" ht="18" customHeight="1" x14ac:dyDescent="0.25">
      <c r="A1340" s="27">
        <v>46355</v>
      </c>
      <c r="B1340" s="29">
        <f>MONTH(W_カレンダー[[#This Row],[日付]])</f>
        <v>11</v>
      </c>
      <c r="C1340" s="1">
        <f>YEAR(W_カレンダー[[#This Row],[日付]])</f>
        <v>2026</v>
      </c>
      <c r="D1340" s="1">
        <f>IF(W_カレンダー[[#This Row],[月]]&lt;=3,W_カレンダー[[#This Row],[暦年]]-1,W_カレンダー[[#This Row],[暦年]])</f>
        <v>2026</v>
      </c>
      <c r="E1340" s="1" t="str">
        <f>IF(W_カレンダー[[#This Row],[月]]&lt;=3,"Q4",IF(W_カレンダー[[#This Row],[月]]&lt;=6,"Q1",IF(W_カレンダー[[#This Row],[月]]&lt;=9,"Q2","Q3")))</f>
        <v>Q3</v>
      </c>
    </row>
    <row r="1341" spans="1:5" ht="18" customHeight="1" x14ac:dyDescent="0.25">
      <c r="A1341" s="27">
        <v>46356</v>
      </c>
      <c r="B1341" s="29">
        <f>MONTH(W_カレンダー[[#This Row],[日付]])</f>
        <v>11</v>
      </c>
      <c r="C1341" s="1">
        <f>YEAR(W_カレンダー[[#This Row],[日付]])</f>
        <v>2026</v>
      </c>
      <c r="D1341" s="1">
        <f>IF(W_カレンダー[[#This Row],[月]]&lt;=3,W_カレンダー[[#This Row],[暦年]]-1,W_カレンダー[[#This Row],[暦年]])</f>
        <v>2026</v>
      </c>
      <c r="E1341" s="1" t="str">
        <f>IF(W_カレンダー[[#This Row],[月]]&lt;=3,"Q4",IF(W_カレンダー[[#This Row],[月]]&lt;=6,"Q1",IF(W_カレンダー[[#This Row],[月]]&lt;=9,"Q2","Q3")))</f>
        <v>Q3</v>
      </c>
    </row>
    <row r="1342" spans="1:5" ht="18" customHeight="1" x14ac:dyDescent="0.25">
      <c r="A1342" s="27">
        <v>46357</v>
      </c>
      <c r="B1342" s="29">
        <f>MONTH(W_カレンダー[[#This Row],[日付]])</f>
        <v>12</v>
      </c>
      <c r="C1342" s="1">
        <f>YEAR(W_カレンダー[[#This Row],[日付]])</f>
        <v>2026</v>
      </c>
      <c r="D1342" s="1">
        <f>IF(W_カレンダー[[#This Row],[月]]&lt;=3,W_カレンダー[[#This Row],[暦年]]-1,W_カレンダー[[#This Row],[暦年]])</f>
        <v>2026</v>
      </c>
      <c r="E1342" s="1" t="str">
        <f>IF(W_カレンダー[[#This Row],[月]]&lt;=3,"Q4",IF(W_カレンダー[[#This Row],[月]]&lt;=6,"Q1",IF(W_カレンダー[[#This Row],[月]]&lt;=9,"Q2","Q3")))</f>
        <v>Q3</v>
      </c>
    </row>
    <row r="1343" spans="1:5" ht="18" customHeight="1" x14ac:dyDescent="0.25">
      <c r="A1343" s="27">
        <v>46358</v>
      </c>
      <c r="B1343" s="29">
        <f>MONTH(W_カレンダー[[#This Row],[日付]])</f>
        <v>12</v>
      </c>
      <c r="C1343" s="1">
        <f>YEAR(W_カレンダー[[#This Row],[日付]])</f>
        <v>2026</v>
      </c>
      <c r="D1343" s="1">
        <f>IF(W_カレンダー[[#This Row],[月]]&lt;=3,W_カレンダー[[#This Row],[暦年]]-1,W_カレンダー[[#This Row],[暦年]])</f>
        <v>2026</v>
      </c>
      <c r="E1343" s="1" t="str">
        <f>IF(W_カレンダー[[#This Row],[月]]&lt;=3,"Q4",IF(W_カレンダー[[#This Row],[月]]&lt;=6,"Q1",IF(W_カレンダー[[#This Row],[月]]&lt;=9,"Q2","Q3")))</f>
        <v>Q3</v>
      </c>
    </row>
    <row r="1344" spans="1:5" ht="18" customHeight="1" x14ac:dyDescent="0.25">
      <c r="A1344" s="27">
        <v>46359</v>
      </c>
      <c r="B1344" s="29">
        <f>MONTH(W_カレンダー[[#This Row],[日付]])</f>
        <v>12</v>
      </c>
      <c r="C1344" s="1">
        <f>YEAR(W_カレンダー[[#This Row],[日付]])</f>
        <v>2026</v>
      </c>
      <c r="D1344" s="1">
        <f>IF(W_カレンダー[[#This Row],[月]]&lt;=3,W_カレンダー[[#This Row],[暦年]]-1,W_カレンダー[[#This Row],[暦年]])</f>
        <v>2026</v>
      </c>
      <c r="E1344" s="1" t="str">
        <f>IF(W_カレンダー[[#This Row],[月]]&lt;=3,"Q4",IF(W_カレンダー[[#This Row],[月]]&lt;=6,"Q1",IF(W_カレンダー[[#This Row],[月]]&lt;=9,"Q2","Q3")))</f>
        <v>Q3</v>
      </c>
    </row>
    <row r="1345" spans="1:5" ht="18" customHeight="1" x14ac:dyDescent="0.25">
      <c r="A1345" s="27">
        <v>46360</v>
      </c>
      <c r="B1345" s="29">
        <f>MONTH(W_カレンダー[[#This Row],[日付]])</f>
        <v>12</v>
      </c>
      <c r="C1345" s="1">
        <f>YEAR(W_カレンダー[[#This Row],[日付]])</f>
        <v>2026</v>
      </c>
      <c r="D1345" s="1">
        <f>IF(W_カレンダー[[#This Row],[月]]&lt;=3,W_カレンダー[[#This Row],[暦年]]-1,W_カレンダー[[#This Row],[暦年]])</f>
        <v>2026</v>
      </c>
      <c r="E1345" s="1" t="str">
        <f>IF(W_カレンダー[[#This Row],[月]]&lt;=3,"Q4",IF(W_カレンダー[[#This Row],[月]]&lt;=6,"Q1",IF(W_カレンダー[[#This Row],[月]]&lt;=9,"Q2","Q3")))</f>
        <v>Q3</v>
      </c>
    </row>
    <row r="1346" spans="1:5" ht="18" customHeight="1" x14ac:dyDescent="0.25">
      <c r="A1346" s="27">
        <v>46361</v>
      </c>
      <c r="B1346" s="29">
        <f>MONTH(W_カレンダー[[#This Row],[日付]])</f>
        <v>12</v>
      </c>
      <c r="C1346" s="1">
        <f>YEAR(W_カレンダー[[#This Row],[日付]])</f>
        <v>2026</v>
      </c>
      <c r="D1346" s="1">
        <f>IF(W_カレンダー[[#This Row],[月]]&lt;=3,W_カレンダー[[#This Row],[暦年]]-1,W_カレンダー[[#This Row],[暦年]])</f>
        <v>2026</v>
      </c>
      <c r="E1346" s="1" t="str">
        <f>IF(W_カレンダー[[#This Row],[月]]&lt;=3,"Q4",IF(W_カレンダー[[#This Row],[月]]&lt;=6,"Q1",IF(W_カレンダー[[#This Row],[月]]&lt;=9,"Q2","Q3")))</f>
        <v>Q3</v>
      </c>
    </row>
    <row r="1347" spans="1:5" ht="18" customHeight="1" x14ac:dyDescent="0.25">
      <c r="A1347" s="27">
        <v>46362</v>
      </c>
      <c r="B1347" s="29">
        <f>MONTH(W_カレンダー[[#This Row],[日付]])</f>
        <v>12</v>
      </c>
      <c r="C1347" s="1">
        <f>YEAR(W_カレンダー[[#This Row],[日付]])</f>
        <v>2026</v>
      </c>
      <c r="D1347" s="1">
        <f>IF(W_カレンダー[[#This Row],[月]]&lt;=3,W_カレンダー[[#This Row],[暦年]]-1,W_カレンダー[[#This Row],[暦年]])</f>
        <v>2026</v>
      </c>
      <c r="E1347" s="1" t="str">
        <f>IF(W_カレンダー[[#This Row],[月]]&lt;=3,"Q4",IF(W_カレンダー[[#This Row],[月]]&lt;=6,"Q1",IF(W_カレンダー[[#This Row],[月]]&lt;=9,"Q2","Q3")))</f>
        <v>Q3</v>
      </c>
    </row>
    <row r="1348" spans="1:5" ht="18" customHeight="1" x14ac:dyDescent="0.25">
      <c r="A1348" s="27">
        <v>46363</v>
      </c>
      <c r="B1348" s="29">
        <f>MONTH(W_カレンダー[[#This Row],[日付]])</f>
        <v>12</v>
      </c>
      <c r="C1348" s="1">
        <f>YEAR(W_カレンダー[[#This Row],[日付]])</f>
        <v>2026</v>
      </c>
      <c r="D1348" s="1">
        <f>IF(W_カレンダー[[#This Row],[月]]&lt;=3,W_カレンダー[[#This Row],[暦年]]-1,W_カレンダー[[#This Row],[暦年]])</f>
        <v>2026</v>
      </c>
      <c r="E1348" s="1" t="str">
        <f>IF(W_カレンダー[[#This Row],[月]]&lt;=3,"Q4",IF(W_カレンダー[[#This Row],[月]]&lt;=6,"Q1",IF(W_カレンダー[[#This Row],[月]]&lt;=9,"Q2","Q3")))</f>
        <v>Q3</v>
      </c>
    </row>
    <row r="1349" spans="1:5" ht="18" customHeight="1" x14ac:dyDescent="0.25">
      <c r="A1349" s="27">
        <v>46364</v>
      </c>
      <c r="B1349" s="29">
        <f>MONTH(W_カレンダー[[#This Row],[日付]])</f>
        <v>12</v>
      </c>
      <c r="C1349" s="1">
        <f>YEAR(W_カレンダー[[#This Row],[日付]])</f>
        <v>2026</v>
      </c>
      <c r="D1349" s="1">
        <f>IF(W_カレンダー[[#This Row],[月]]&lt;=3,W_カレンダー[[#This Row],[暦年]]-1,W_カレンダー[[#This Row],[暦年]])</f>
        <v>2026</v>
      </c>
      <c r="E1349" s="1" t="str">
        <f>IF(W_カレンダー[[#This Row],[月]]&lt;=3,"Q4",IF(W_カレンダー[[#This Row],[月]]&lt;=6,"Q1",IF(W_カレンダー[[#This Row],[月]]&lt;=9,"Q2","Q3")))</f>
        <v>Q3</v>
      </c>
    </row>
    <row r="1350" spans="1:5" ht="18" customHeight="1" x14ac:dyDescent="0.25">
      <c r="A1350" s="27">
        <v>46365</v>
      </c>
      <c r="B1350" s="29">
        <f>MONTH(W_カレンダー[[#This Row],[日付]])</f>
        <v>12</v>
      </c>
      <c r="C1350" s="1">
        <f>YEAR(W_カレンダー[[#This Row],[日付]])</f>
        <v>2026</v>
      </c>
      <c r="D1350" s="1">
        <f>IF(W_カレンダー[[#This Row],[月]]&lt;=3,W_カレンダー[[#This Row],[暦年]]-1,W_カレンダー[[#This Row],[暦年]])</f>
        <v>2026</v>
      </c>
      <c r="E1350" s="1" t="str">
        <f>IF(W_カレンダー[[#This Row],[月]]&lt;=3,"Q4",IF(W_カレンダー[[#This Row],[月]]&lt;=6,"Q1",IF(W_カレンダー[[#This Row],[月]]&lt;=9,"Q2","Q3")))</f>
        <v>Q3</v>
      </c>
    </row>
    <row r="1351" spans="1:5" ht="18" customHeight="1" x14ac:dyDescent="0.25">
      <c r="A1351" s="27">
        <v>46366</v>
      </c>
      <c r="B1351" s="29">
        <f>MONTH(W_カレンダー[[#This Row],[日付]])</f>
        <v>12</v>
      </c>
      <c r="C1351" s="1">
        <f>YEAR(W_カレンダー[[#This Row],[日付]])</f>
        <v>2026</v>
      </c>
      <c r="D1351" s="1">
        <f>IF(W_カレンダー[[#This Row],[月]]&lt;=3,W_カレンダー[[#This Row],[暦年]]-1,W_カレンダー[[#This Row],[暦年]])</f>
        <v>2026</v>
      </c>
      <c r="E1351" s="1" t="str">
        <f>IF(W_カレンダー[[#This Row],[月]]&lt;=3,"Q4",IF(W_カレンダー[[#This Row],[月]]&lt;=6,"Q1",IF(W_カレンダー[[#This Row],[月]]&lt;=9,"Q2","Q3")))</f>
        <v>Q3</v>
      </c>
    </row>
    <row r="1352" spans="1:5" ht="18" customHeight="1" x14ac:dyDescent="0.25">
      <c r="A1352" s="27">
        <v>46367</v>
      </c>
      <c r="B1352" s="29">
        <f>MONTH(W_カレンダー[[#This Row],[日付]])</f>
        <v>12</v>
      </c>
      <c r="C1352" s="1">
        <f>YEAR(W_カレンダー[[#This Row],[日付]])</f>
        <v>2026</v>
      </c>
      <c r="D1352" s="1">
        <f>IF(W_カレンダー[[#This Row],[月]]&lt;=3,W_カレンダー[[#This Row],[暦年]]-1,W_カレンダー[[#This Row],[暦年]])</f>
        <v>2026</v>
      </c>
      <c r="E1352" s="1" t="str">
        <f>IF(W_カレンダー[[#This Row],[月]]&lt;=3,"Q4",IF(W_カレンダー[[#This Row],[月]]&lt;=6,"Q1",IF(W_カレンダー[[#This Row],[月]]&lt;=9,"Q2","Q3")))</f>
        <v>Q3</v>
      </c>
    </row>
    <row r="1353" spans="1:5" ht="18" customHeight="1" x14ac:dyDescent="0.25">
      <c r="A1353" s="27">
        <v>46368</v>
      </c>
      <c r="B1353" s="29">
        <f>MONTH(W_カレンダー[[#This Row],[日付]])</f>
        <v>12</v>
      </c>
      <c r="C1353" s="1">
        <f>YEAR(W_カレンダー[[#This Row],[日付]])</f>
        <v>2026</v>
      </c>
      <c r="D1353" s="1">
        <f>IF(W_カレンダー[[#This Row],[月]]&lt;=3,W_カレンダー[[#This Row],[暦年]]-1,W_カレンダー[[#This Row],[暦年]])</f>
        <v>2026</v>
      </c>
      <c r="E1353" s="1" t="str">
        <f>IF(W_カレンダー[[#This Row],[月]]&lt;=3,"Q4",IF(W_カレンダー[[#This Row],[月]]&lt;=6,"Q1",IF(W_カレンダー[[#This Row],[月]]&lt;=9,"Q2","Q3")))</f>
        <v>Q3</v>
      </c>
    </row>
    <row r="1354" spans="1:5" ht="18" customHeight="1" x14ac:dyDescent="0.25">
      <c r="A1354" s="27">
        <v>46369</v>
      </c>
      <c r="B1354" s="29">
        <f>MONTH(W_カレンダー[[#This Row],[日付]])</f>
        <v>12</v>
      </c>
      <c r="C1354" s="1">
        <f>YEAR(W_カレンダー[[#This Row],[日付]])</f>
        <v>2026</v>
      </c>
      <c r="D1354" s="1">
        <f>IF(W_カレンダー[[#This Row],[月]]&lt;=3,W_カレンダー[[#This Row],[暦年]]-1,W_カレンダー[[#This Row],[暦年]])</f>
        <v>2026</v>
      </c>
      <c r="E1354" s="1" t="str">
        <f>IF(W_カレンダー[[#This Row],[月]]&lt;=3,"Q4",IF(W_カレンダー[[#This Row],[月]]&lt;=6,"Q1",IF(W_カレンダー[[#This Row],[月]]&lt;=9,"Q2","Q3")))</f>
        <v>Q3</v>
      </c>
    </row>
    <row r="1355" spans="1:5" ht="18" customHeight="1" x14ac:dyDescent="0.25">
      <c r="A1355" s="27">
        <v>46370</v>
      </c>
      <c r="B1355" s="29">
        <f>MONTH(W_カレンダー[[#This Row],[日付]])</f>
        <v>12</v>
      </c>
      <c r="C1355" s="1">
        <f>YEAR(W_カレンダー[[#This Row],[日付]])</f>
        <v>2026</v>
      </c>
      <c r="D1355" s="1">
        <f>IF(W_カレンダー[[#This Row],[月]]&lt;=3,W_カレンダー[[#This Row],[暦年]]-1,W_カレンダー[[#This Row],[暦年]])</f>
        <v>2026</v>
      </c>
      <c r="E1355" s="1" t="str">
        <f>IF(W_カレンダー[[#This Row],[月]]&lt;=3,"Q4",IF(W_カレンダー[[#This Row],[月]]&lt;=6,"Q1",IF(W_カレンダー[[#This Row],[月]]&lt;=9,"Q2","Q3")))</f>
        <v>Q3</v>
      </c>
    </row>
    <row r="1356" spans="1:5" ht="18" customHeight="1" x14ac:dyDescent="0.25">
      <c r="A1356" s="27">
        <v>46371</v>
      </c>
      <c r="B1356" s="29">
        <f>MONTH(W_カレンダー[[#This Row],[日付]])</f>
        <v>12</v>
      </c>
      <c r="C1356" s="1">
        <f>YEAR(W_カレンダー[[#This Row],[日付]])</f>
        <v>2026</v>
      </c>
      <c r="D1356" s="1">
        <f>IF(W_カレンダー[[#This Row],[月]]&lt;=3,W_カレンダー[[#This Row],[暦年]]-1,W_カレンダー[[#This Row],[暦年]])</f>
        <v>2026</v>
      </c>
      <c r="E1356" s="1" t="str">
        <f>IF(W_カレンダー[[#This Row],[月]]&lt;=3,"Q4",IF(W_カレンダー[[#This Row],[月]]&lt;=6,"Q1",IF(W_カレンダー[[#This Row],[月]]&lt;=9,"Q2","Q3")))</f>
        <v>Q3</v>
      </c>
    </row>
    <row r="1357" spans="1:5" ht="18" customHeight="1" x14ac:dyDescent="0.25">
      <c r="A1357" s="27">
        <v>46372</v>
      </c>
      <c r="B1357" s="29">
        <f>MONTH(W_カレンダー[[#This Row],[日付]])</f>
        <v>12</v>
      </c>
      <c r="C1357" s="1">
        <f>YEAR(W_カレンダー[[#This Row],[日付]])</f>
        <v>2026</v>
      </c>
      <c r="D1357" s="1">
        <f>IF(W_カレンダー[[#This Row],[月]]&lt;=3,W_カレンダー[[#This Row],[暦年]]-1,W_カレンダー[[#This Row],[暦年]])</f>
        <v>2026</v>
      </c>
      <c r="E1357" s="1" t="str">
        <f>IF(W_カレンダー[[#This Row],[月]]&lt;=3,"Q4",IF(W_カレンダー[[#This Row],[月]]&lt;=6,"Q1",IF(W_カレンダー[[#This Row],[月]]&lt;=9,"Q2","Q3")))</f>
        <v>Q3</v>
      </c>
    </row>
    <row r="1358" spans="1:5" ht="18" customHeight="1" x14ac:dyDescent="0.25">
      <c r="A1358" s="27">
        <v>46373</v>
      </c>
      <c r="B1358" s="29">
        <f>MONTH(W_カレンダー[[#This Row],[日付]])</f>
        <v>12</v>
      </c>
      <c r="C1358" s="1">
        <f>YEAR(W_カレンダー[[#This Row],[日付]])</f>
        <v>2026</v>
      </c>
      <c r="D1358" s="1">
        <f>IF(W_カレンダー[[#This Row],[月]]&lt;=3,W_カレンダー[[#This Row],[暦年]]-1,W_カレンダー[[#This Row],[暦年]])</f>
        <v>2026</v>
      </c>
      <c r="E1358" s="1" t="str">
        <f>IF(W_カレンダー[[#This Row],[月]]&lt;=3,"Q4",IF(W_カレンダー[[#This Row],[月]]&lt;=6,"Q1",IF(W_カレンダー[[#This Row],[月]]&lt;=9,"Q2","Q3")))</f>
        <v>Q3</v>
      </c>
    </row>
    <row r="1359" spans="1:5" ht="18" customHeight="1" x14ac:dyDescent="0.25">
      <c r="A1359" s="27">
        <v>46374</v>
      </c>
      <c r="B1359" s="29">
        <f>MONTH(W_カレンダー[[#This Row],[日付]])</f>
        <v>12</v>
      </c>
      <c r="C1359" s="1">
        <f>YEAR(W_カレンダー[[#This Row],[日付]])</f>
        <v>2026</v>
      </c>
      <c r="D1359" s="1">
        <f>IF(W_カレンダー[[#This Row],[月]]&lt;=3,W_カレンダー[[#This Row],[暦年]]-1,W_カレンダー[[#This Row],[暦年]])</f>
        <v>2026</v>
      </c>
      <c r="E1359" s="1" t="str">
        <f>IF(W_カレンダー[[#This Row],[月]]&lt;=3,"Q4",IF(W_カレンダー[[#This Row],[月]]&lt;=6,"Q1",IF(W_カレンダー[[#This Row],[月]]&lt;=9,"Q2","Q3")))</f>
        <v>Q3</v>
      </c>
    </row>
    <row r="1360" spans="1:5" ht="18" customHeight="1" x14ac:dyDescent="0.25">
      <c r="A1360" s="27">
        <v>46375</v>
      </c>
      <c r="B1360" s="29">
        <f>MONTH(W_カレンダー[[#This Row],[日付]])</f>
        <v>12</v>
      </c>
      <c r="C1360" s="1">
        <f>YEAR(W_カレンダー[[#This Row],[日付]])</f>
        <v>2026</v>
      </c>
      <c r="D1360" s="1">
        <f>IF(W_カレンダー[[#This Row],[月]]&lt;=3,W_カレンダー[[#This Row],[暦年]]-1,W_カレンダー[[#This Row],[暦年]])</f>
        <v>2026</v>
      </c>
      <c r="E1360" s="1" t="str">
        <f>IF(W_カレンダー[[#This Row],[月]]&lt;=3,"Q4",IF(W_カレンダー[[#This Row],[月]]&lt;=6,"Q1",IF(W_カレンダー[[#This Row],[月]]&lt;=9,"Q2","Q3")))</f>
        <v>Q3</v>
      </c>
    </row>
    <row r="1361" spans="1:5" ht="18" customHeight="1" x14ac:dyDescent="0.25">
      <c r="A1361" s="27">
        <v>46376</v>
      </c>
      <c r="B1361" s="29">
        <f>MONTH(W_カレンダー[[#This Row],[日付]])</f>
        <v>12</v>
      </c>
      <c r="C1361" s="1">
        <f>YEAR(W_カレンダー[[#This Row],[日付]])</f>
        <v>2026</v>
      </c>
      <c r="D1361" s="1">
        <f>IF(W_カレンダー[[#This Row],[月]]&lt;=3,W_カレンダー[[#This Row],[暦年]]-1,W_カレンダー[[#This Row],[暦年]])</f>
        <v>2026</v>
      </c>
      <c r="E1361" s="1" t="str">
        <f>IF(W_カレンダー[[#This Row],[月]]&lt;=3,"Q4",IF(W_カレンダー[[#This Row],[月]]&lt;=6,"Q1",IF(W_カレンダー[[#This Row],[月]]&lt;=9,"Q2","Q3")))</f>
        <v>Q3</v>
      </c>
    </row>
    <row r="1362" spans="1:5" ht="18" customHeight="1" x14ac:dyDescent="0.25">
      <c r="A1362" s="27">
        <v>46377</v>
      </c>
      <c r="B1362" s="29">
        <f>MONTH(W_カレンダー[[#This Row],[日付]])</f>
        <v>12</v>
      </c>
      <c r="C1362" s="1">
        <f>YEAR(W_カレンダー[[#This Row],[日付]])</f>
        <v>2026</v>
      </c>
      <c r="D1362" s="1">
        <f>IF(W_カレンダー[[#This Row],[月]]&lt;=3,W_カレンダー[[#This Row],[暦年]]-1,W_カレンダー[[#This Row],[暦年]])</f>
        <v>2026</v>
      </c>
      <c r="E1362" s="1" t="str">
        <f>IF(W_カレンダー[[#This Row],[月]]&lt;=3,"Q4",IF(W_カレンダー[[#This Row],[月]]&lt;=6,"Q1",IF(W_カレンダー[[#This Row],[月]]&lt;=9,"Q2","Q3")))</f>
        <v>Q3</v>
      </c>
    </row>
    <row r="1363" spans="1:5" ht="18" customHeight="1" x14ac:dyDescent="0.25">
      <c r="A1363" s="27">
        <v>46378</v>
      </c>
      <c r="B1363" s="29">
        <f>MONTH(W_カレンダー[[#This Row],[日付]])</f>
        <v>12</v>
      </c>
      <c r="C1363" s="1">
        <f>YEAR(W_カレンダー[[#This Row],[日付]])</f>
        <v>2026</v>
      </c>
      <c r="D1363" s="1">
        <f>IF(W_カレンダー[[#This Row],[月]]&lt;=3,W_カレンダー[[#This Row],[暦年]]-1,W_カレンダー[[#This Row],[暦年]])</f>
        <v>2026</v>
      </c>
      <c r="E1363" s="1" t="str">
        <f>IF(W_カレンダー[[#This Row],[月]]&lt;=3,"Q4",IF(W_カレンダー[[#This Row],[月]]&lt;=6,"Q1",IF(W_カレンダー[[#This Row],[月]]&lt;=9,"Q2","Q3")))</f>
        <v>Q3</v>
      </c>
    </row>
    <row r="1364" spans="1:5" ht="18" customHeight="1" x14ac:dyDescent="0.25">
      <c r="A1364" s="27">
        <v>46379</v>
      </c>
      <c r="B1364" s="29">
        <f>MONTH(W_カレンダー[[#This Row],[日付]])</f>
        <v>12</v>
      </c>
      <c r="C1364" s="1">
        <f>YEAR(W_カレンダー[[#This Row],[日付]])</f>
        <v>2026</v>
      </c>
      <c r="D1364" s="1">
        <f>IF(W_カレンダー[[#This Row],[月]]&lt;=3,W_カレンダー[[#This Row],[暦年]]-1,W_カレンダー[[#This Row],[暦年]])</f>
        <v>2026</v>
      </c>
      <c r="E1364" s="1" t="str">
        <f>IF(W_カレンダー[[#This Row],[月]]&lt;=3,"Q4",IF(W_カレンダー[[#This Row],[月]]&lt;=6,"Q1",IF(W_カレンダー[[#This Row],[月]]&lt;=9,"Q2","Q3")))</f>
        <v>Q3</v>
      </c>
    </row>
    <row r="1365" spans="1:5" ht="18" customHeight="1" x14ac:dyDescent="0.25">
      <c r="A1365" s="27">
        <v>46380</v>
      </c>
      <c r="B1365" s="29">
        <f>MONTH(W_カレンダー[[#This Row],[日付]])</f>
        <v>12</v>
      </c>
      <c r="C1365" s="1">
        <f>YEAR(W_カレンダー[[#This Row],[日付]])</f>
        <v>2026</v>
      </c>
      <c r="D1365" s="1">
        <f>IF(W_カレンダー[[#This Row],[月]]&lt;=3,W_カレンダー[[#This Row],[暦年]]-1,W_カレンダー[[#This Row],[暦年]])</f>
        <v>2026</v>
      </c>
      <c r="E1365" s="1" t="str">
        <f>IF(W_カレンダー[[#This Row],[月]]&lt;=3,"Q4",IF(W_カレンダー[[#This Row],[月]]&lt;=6,"Q1",IF(W_カレンダー[[#This Row],[月]]&lt;=9,"Q2","Q3")))</f>
        <v>Q3</v>
      </c>
    </row>
    <row r="1366" spans="1:5" ht="18" customHeight="1" x14ac:dyDescent="0.25">
      <c r="A1366" s="27">
        <v>46381</v>
      </c>
      <c r="B1366" s="29">
        <f>MONTH(W_カレンダー[[#This Row],[日付]])</f>
        <v>12</v>
      </c>
      <c r="C1366" s="1">
        <f>YEAR(W_カレンダー[[#This Row],[日付]])</f>
        <v>2026</v>
      </c>
      <c r="D1366" s="1">
        <f>IF(W_カレンダー[[#This Row],[月]]&lt;=3,W_カレンダー[[#This Row],[暦年]]-1,W_カレンダー[[#This Row],[暦年]])</f>
        <v>2026</v>
      </c>
      <c r="E1366" s="1" t="str">
        <f>IF(W_カレンダー[[#This Row],[月]]&lt;=3,"Q4",IF(W_カレンダー[[#This Row],[月]]&lt;=6,"Q1",IF(W_カレンダー[[#This Row],[月]]&lt;=9,"Q2","Q3")))</f>
        <v>Q3</v>
      </c>
    </row>
    <row r="1367" spans="1:5" ht="18" customHeight="1" x14ac:dyDescent="0.25">
      <c r="A1367" s="27">
        <v>46382</v>
      </c>
      <c r="B1367" s="29">
        <f>MONTH(W_カレンダー[[#This Row],[日付]])</f>
        <v>12</v>
      </c>
      <c r="C1367" s="1">
        <f>YEAR(W_カレンダー[[#This Row],[日付]])</f>
        <v>2026</v>
      </c>
      <c r="D1367" s="1">
        <f>IF(W_カレンダー[[#This Row],[月]]&lt;=3,W_カレンダー[[#This Row],[暦年]]-1,W_カレンダー[[#This Row],[暦年]])</f>
        <v>2026</v>
      </c>
      <c r="E1367" s="1" t="str">
        <f>IF(W_カレンダー[[#This Row],[月]]&lt;=3,"Q4",IF(W_カレンダー[[#This Row],[月]]&lt;=6,"Q1",IF(W_カレンダー[[#This Row],[月]]&lt;=9,"Q2","Q3")))</f>
        <v>Q3</v>
      </c>
    </row>
    <row r="1368" spans="1:5" ht="18" customHeight="1" x14ac:dyDescent="0.25">
      <c r="A1368" s="27">
        <v>46383</v>
      </c>
      <c r="B1368" s="29">
        <f>MONTH(W_カレンダー[[#This Row],[日付]])</f>
        <v>12</v>
      </c>
      <c r="C1368" s="1">
        <f>YEAR(W_カレンダー[[#This Row],[日付]])</f>
        <v>2026</v>
      </c>
      <c r="D1368" s="1">
        <f>IF(W_カレンダー[[#This Row],[月]]&lt;=3,W_カレンダー[[#This Row],[暦年]]-1,W_カレンダー[[#This Row],[暦年]])</f>
        <v>2026</v>
      </c>
      <c r="E1368" s="1" t="str">
        <f>IF(W_カレンダー[[#This Row],[月]]&lt;=3,"Q4",IF(W_カレンダー[[#This Row],[月]]&lt;=6,"Q1",IF(W_カレンダー[[#This Row],[月]]&lt;=9,"Q2","Q3")))</f>
        <v>Q3</v>
      </c>
    </row>
    <row r="1369" spans="1:5" ht="18" customHeight="1" x14ac:dyDescent="0.25">
      <c r="A1369" s="27">
        <v>46384</v>
      </c>
      <c r="B1369" s="29">
        <f>MONTH(W_カレンダー[[#This Row],[日付]])</f>
        <v>12</v>
      </c>
      <c r="C1369" s="1">
        <f>YEAR(W_カレンダー[[#This Row],[日付]])</f>
        <v>2026</v>
      </c>
      <c r="D1369" s="1">
        <f>IF(W_カレンダー[[#This Row],[月]]&lt;=3,W_カレンダー[[#This Row],[暦年]]-1,W_カレンダー[[#This Row],[暦年]])</f>
        <v>2026</v>
      </c>
      <c r="E1369" s="1" t="str">
        <f>IF(W_カレンダー[[#This Row],[月]]&lt;=3,"Q4",IF(W_カレンダー[[#This Row],[月]]&lt;=6,"Q1",IF(W_カレンダー[[#This Row],[月]]&lt;=9,"Q2","Q3")))</f>
        <v>Q3</v>
      </c>
    </row>
    <row r="1370" spans="1:5" ht="18" customHeight="1" x14ac:dyDescent="0.25">
      <c r="A1370" s="27">
        <v>46385</v>
      </c>
      <c r="B1370" s="29">
        <f>MONTH(W_カレンダー[[#This Row],[日付]])</f>
        <v>12</v>
      </c>
      <c r="C1370" s="1">
        <f>YEAR(W_カレンダー[[#This Row],[日付]])</f>
        <v>2026</v>
      </c>
      <c r="D1370" s="1">
        <f>IF(W_カレンダー[[#This Row],[月]]&lt;=3,W_カレンダー[[#This Row],[暦年]]-1,W_カレンダー[[#This Row],[暦年]])</f>
        <v>2026</v>
      </c>
      <c r="E1370" s="1" t="str">
        <f>IF(W_カレンダー[[#This Row],[月]]&lt;=3,"Q4",IF(W_カレンダー[[#This Row],[月]]&lt;=6,"Q1",IF(W_カレンダー[[#This Row],[月]]&lt;=9,"Q2","Q3")))</f>
        <v>Q3</v>
      </c>
    </row>
    <row r="1371" spans="1:5" ht="18" customHeight="1" x14ac:dyDescent="0.25">
      <c r="A1371" s="27">
        <v>46386</v>
      </c>
      <c r="B1371" s="29">
        <f>MONTH(W_カレンダー[[#This Row],[日付]])</f>
        <v>12</v>
      </c>
      <c r="C1371" s="1">
        <f>YEAR(W_カレンダー[[#This Row],[日付]])</f>
        <v>2026</v>
      </c>
      <c r="D1371" s="1">
        <f>IF(W_カレンダー[[#This Row],[月]]&lt;=3,W_カレンダー[[#This Row],[暦年]]-1,W_カレンダー[[#This Row],[暦年]])</f>
        <v>2026</v>
      </c>
      <c r="E1371" s="1" t="str">
        <f>IF(W_カレンダー[[#This Row],[月]]&lt;=3,"Q4",IF(W_カレンダー[[#This Row],[月]]&lt;=6,"Q1",IF(W_カレンダー[[#This Row],[月]]&lt;=9,"Q2","Q3")))</f>
        <v>Q3</v>
      </c>
    </row>
    <row r="1372" spans="1:5" ht="18" customHeight="1" x14ac:dyDescent="0.25">
      <c r="A1372" s="27">
        <v>46387</v>
      </c>
      <c r="B1372" s="29">
        <f>MONTH(W_カレンダー[[#This Row],[日付]])</f>
        <v>12</v>
      </c>
      <c r="C1372" s="1">
        <f>YEAR(W_カレンダー[[#This Row],[日付]])</f>
        <v>2026</v>
      </c>
      <c r="D1372" s="1">
        <f>IF(W_カレンダー[[#This Row],[月]]&lt;=3,W_カレンダー[[#This Row],[暦年]]-1,W_カレンダー[[#This Row],[暦年]])</f>
        <v>2026</v>
      </c>
      <c r="E1372" s="1" t="str">
        <f>IF(W_カレンダー[[#This Row],[月]]&lt;=3,"Q4",IF(W_カレンダー[[#This Row],[月]]&lt;=6,"Q1",IF(W_カレンダー[[#This Row],[月]]&lt;=9,"Q2","Q3")))</f>
        <v>Q3</v>
      </c>
    </row>
    <row r="1373" spans="1:5" ht="18" customHeight="1" x14ac:dyDescent="0.25">
      <c r="A1373" s="27">
        <v>46388</v>
      </c>
      <c r="B1373" s="29">
        <f>MONTH(W_カレンダー[[#This Row],[日付]])</f>
        <v>1</v>
      </c>
      <c r="C1373" s="1">
        <f>YEAR(W_カレンダー[[#This Row],[日付]])</f>
        <v>2027</v>
      </c>
      <c r="D1373" s="1">
        <f>IF(W_カレンダー[[#This Row],[月]]&lt;=3,W_カレンダー[[#This Row],[暦年]]-1,W_カレンダー[[#This Row],[暦年]])</f>
        <v>2026</v>
      </c>
      <c r="E1373" s="1" t="str">
        <f>IF(W_カレンダー[[#This Row],[月]]&lt;=3,"Q4",IF(W_カレンダー[[#This Row],[月]]&lt;=6,"Q1",IF(W_カレンダー[[#This Row],[月]]&lt;=9,"Q2","Q3")))</f>
        <v>Q4</v>
      </c>
    </row>
    <row r="1374" spans="1:5" ht="18" customHeight="1" x14ac:dyDescent="0.25">
      <c r="A1374" s="27">
        <v>46389</v>
      </c>
      <c r="B1374" s="29">
        <f>MONTH(W_カレンダー[[#This Row],[日付]])</f>
        <v>1</v>
      </c>
      <c r="C1374" s="1">
        <f>YEAR(W_カレンダー[[#This Row],[日付]])</f>
        <v>2027</v>
      </c>
      <c r="D1374" s="1">
        <f>IF(W_カレンダー[[#This Row],[月]]&lt;=3,W_カレンダー[[#This Row],[暦年]]-1,W_カレンダー[[#This Row],[暦年]])</f>
        <v>2026</v>
      </c>
      <c r="E1374" s="1" t="str">
        <f>IF(W_カレンダー[[#This Row],[月]]&lt;=3,"Q4",IF(W_カレンダー[[#This Row],[月]]&lt;=6,"Q1",IF(W_カレンダー[[#This Row],[月]]&lt;=9,"Q2","Q3")))</f>
        <v>Q4</v>
      </c>
    </row>
    <row r="1375" spans="1:5" ht="18" customHeight="1" x14ac:dyDescent="0.25">
      <c r="A1375" s="27">
        <v>46390</v>
      </c>
      <c r="B1375" s="29">
        <f>MONTH(W_カレンダー[[#This Row],[日付]])</f>
        <v>1</v>
      </c>
      <c r="C1375" s="1">
        <f>YEAR(W_カレンダー[[#This Row],[日付]])</f>
        <v>2027</v>
      </c>
      <c r="D1375" s="1">
        <f>IF(W_カレンダー[[#This Row],[月]]&lt;=3,W_カレンダー[[#This Row],[暦年]]-1,W_カレンダー[[#This Row],[暦年]])</f>
        <v>2026</v>
      </c>
      <c r="E1375" s="1" t="str">
        <f>IF(W_カレンダー[[#This Row],[月]]&lt;=3,"Q4",IF(W_カレンダー[[#This Row],[月]]&lt;=6,"Q1",IF(W_カレンダー[[#This Row],[月]]&lt;=9,"Q2","Q3")))</f>
        <v>Q4</v>
      </c>
    </row>
    <row r="1376" spans="1:5" ht="18" customHeight="1" x14ac:dyDescent="0.25">
      <c r="A1376" s="27">
        <v>46391</v>
      </c>
      <c r="B1376" s="29">
        <f>MONTH(W_カレンダー[[#This Row],[日付]])</f>
        <v>1</v>
      </c>
      <c r="C1376" s="1">
        <f>YEAR(W_カレンダー[[#This Row],[日付]])</f>
        <v>2027</v>
      </c>
      <c r="D1376" s="1">
        <f>IF(W_カレンダー[[#This Row],[月]]&lt;=3,W_カレンダー[[#This Row],[暦年]]-1,W_カレンダー[[#This Row],[暦年]])</f>
        <v>2026</v>
      </c>
      <c r="E1376" s="1" t="str">
        <f>IF(W_カレンダー[[#This Row],[月]]&lt;=3,"Q4",IF(W_カレンダー[[#This Row],[月]]&lt;=6,"Q1",IF(W_カレンダー[[#This Row],[月]]&lt;=9,"Q2","Q3")))</f>
        <v>Q4</v>
      </c>
    </row>
    <row r="1377" spans="1:5" ht="18" customHeight="1" x14ac:dyDescent="0.25">
      <c r="A1377" s="27">
        <v>46392</v>
      </c>
      <c r="B1377" s="29">
        <f>MONTH(W_カレンダー[[#This Row],[日付]])</f>
        <v>1</v>
      </c>
      <c r="C1377" s="1">
        <f>YEAR(W_カレンダー[[#This Row],[日付]])</f>
        <v>2027</v>
      </c>
      <c r="D1377" s="1">
        <f>IF(W_カレンダー[[#This Row],[月]]&lt;=3,W_カレンダー[[#This Row],[暦年]]-1,W_カレンダー[[#This Row],[暦年]])</f>
        <v>2026</v>
      </c>
      <c r="E1377" s="1" t="str">
        <f>IF(W_カレンダー[[#This Row],[月]]&lt;=3,"Q4",IF(W_カレンダー[[#This Row],[月]]&lt;=6,"Q1",IF(W_カレンダー[[#This Row],[月]]&lt;=9,"Q2","Q3")))</f>
        <v>Q4</v>
      </c>
    </row>
    <row r="1378" spans="1:5" ht="18" customHeight="1" x14ac:dyDescent="0.25">
      <c r="A1378" s="27">
        <v>46393</v>
      </c>
      <c r="B1378" s="29">
        <f>MONTH(W_カレンダー[[#This Row],[日付]])</f>
        <v>1</v>
      </c>
      <c r="C1378" s="1">
        <f>YEAR(W_カレンダー[[#This Row],[日付]])</f>
        <v>2027</v>
      </c>
      <c r="D1378" s="1">
        <f>IF(W_カレンダー[[#This Row],[月]]&lt;=3,W_カレンダー[[#This Row],[暦年]]-1,W_カレンダー[[#This Row],[暦年]])</f>
        <v>2026</v>
      </c>
      <c r="E1378" s="1" t="str">
        <f>IF(W_カレンダー[[#This Row],[月]]&lt;=3,"Q4",IF(W_カレンダー[[#This Row],[月]]&lt;=6,"Q1",IF(W_カレンダー[[#This Row],[月]]&lt;=9,"Q2","Q3")))</f>
        <v>Q4</v>
      </c>
    </row>
    <row r="1379" spans="1:5" ht="18" customHeight="1" x14ac:dyDescent="0.25">
      <c r="A1379" s="27">
        <v>46394</v>
      </c>
      <c r="B1379" s="29">
        <f>MONTH(W_カレンダー[[#This Row],[日付]])</f>
        <v>1</v>
      </c>
      <c r="C1379" s="1">
        <f>YEAR(W_カレンダー[[#This Row],[日付]])</f>
        <v>2027</v>
      </c>
      <c r="D1379" s="1">
        <f>IF(W_カレンダー[[#This Row],[月]]&lt;=3,W_カレンダー[[#This Row],[暦年]]-1,W_カレンダー[[#This Row],[暦年]])</f>
        <v>2026</v>
      </c>
      <c r="E1379" s="1" t="str">
        <f>IF(W_カレンダー[[#This Row],[月]]&lt;=3,"Q4",IF(W_カレンダー[[#This Row],[月]]&lt;=6,"Q1",IF(W_カレンダー[[#This Row],[月]]&lt;=9,"Q2","Q3")))</f>
        <v>Q4</v>
      </c>
    </row>
    <row r="1380" spans="1:5" ht="18" customHeight="1" x14ac:dyDescent="0.25">
      <c r="A1380" s="27">
        <v>46395</v>
      </c>
      <c r="B1380" s="29">
        <f>MONTH(W_カレンダー[[#This Row],[日付]])</f>
        <v>1</v>
      </c>
      <c r="C1380" s="1">
        <f>YEAR(W_カレンダー[[#This Row],[日付]])</f>
        <v>2027</v>
      </c>
      <c r="D1380" s="1">
        <f>IF(W_カレンダー[[#This Row],[月]]&lt;=3,W_カレンダー[[#This Row],[暦年]]-1,W_カレンダー[[#This Row],[暦年]])</f>
        <v>2026</v>
      </c>
      <c r="E1380" s="1" t="str">
        <f>IF(W_カレンダー[[#This Row],[月]]&lt;=3,"Q4",IF(W_カレンダー[[#This Row],[月]]&lt;=6,"Q1",IF(W_カレンダー[[#This Row],[月]]&lt;=9,"Q2","Q3")))</f>
        <v>Q4</v>
      </c>
    </row>
    <row r="1381" spans="1:5" ht="18" customHeight="1" x14ac:dyDescent="0.25">
      <c r="A1381" s="27">
        <v>46396</v>
      </c>
      <c r="B1381" s="29">
        <f>MONTH(W_カレンダー[[#This Row],[日付]])</f>
        <v>1</v>
      </c>
      <c r="C1381" s="1">
        <f>YEAR(W_カレンダー[[#This Row],[日付]])</f>
        <v>2027</v>
      </c>
      <c r="D1381" s="1">
        <f>IF(W_カレンダー[[#This Row],[月]]&lt;=3,W_カレンダー[[#This Row],[暦年]]-1,W_カレンダー[[#This Row],[暦年]])</f>
        <v>2026</v>
      </c>
      <c r="E1381" s="1" t="str">
        <f>IF(W_カレンダー[[#This Row],[月]]&lt;=3,"Q4",IF(W_カレンダー[[#This Row],[月]]&lt;=6,"Q1",IF(W_カレンダー[[#This Row],[月]]&lt;=9,"Q2","Q3")))</f>
        <v>Q4</v>
      </c>
    </row>
    <row r="1382" spans="1:5" ht="18" customHeight="1" x14ac:dyDescent="0.25">
      <c r="A1382" s="27">
        <v>46397</v>
      </c>
      <c r="B1382" s="29">
        <f>MONTH(W_カレンダー[[#This Row],[日付]])</f>
        <v>1</v>
      </c>
      <c r="C1382" s="1">
        <f>YEAR(W_カレンダー[[#This Row],[日付]])</f>
        <v>2027</v>
      </c>
      <c r="D1382" s="1">
        <f>IF(W_カレンダー[[#This Row],[月]]&lt;=3,W_カレンダー[[#This Row],[暦年]]-1,W_カレンダー[[#This Row],[暦年]])</f>
        <v>2026</v>
      </c>
      <c r="E1382" s="1" t="str">
        <f>IF(W_カレンダー[[#This Row],[月]]&lt;=3,"Q4",IF(W_カレンダー[[#This Row],[月]]&lt;=6,"Q1",IF(W_カレンダー[[#This Row],[月]]&lt;=9,"Q2","Q3")))</f>
        <v>Q4</v>
      </c>
    </row>
    <row r="1383" spans="1:5" ht="18" customHeight="1" x14ac:dyDescent="0.25">
      <c r="A1383" s="27">
        <v>46398</v>
      </c>
      <c r="B1383" s="29">
        <f>MONTH(W_カレンダー[[#This Row],[日付]])</f>
        <v>1</v>
      </c>
      <c r="C1383" s="1">
        <f>YEAR(W_カレンダー[[#This Row],[日付]])</f>
        <v>2027</v>
      </c>
      <c r="D1383" s="1">
        <f>IF(W_カレンダー[[#This Row],[月]]&lt;=3,W_カレンダー[[#This Row],[暦年]]-1,W_カレンダー[[#This Row],[暦年]])</f>
        <v>2026</v>
      </c>
      <c r="E1383" s="1" t="str">
        <f>IF(W_カレンダー[[#This Row],[月]]&lt;=3,"Q4",IF(W_カレンダー[[#This Row],[月]]&lt;=6,"Q1",IF(W_カレンダー[[#This Row],[月]]&lt;=9,"Q2","Q3")))</f>
        <v>Q4</v>
      </c>
    </row>
    <row r="1384" spans="1:5" ht="18" customHeight="1" x14ac:dyDescent="0.25">
      <c r="A1384" s="27">
        <v>46399</v>
      </c>
      <c r="B1384" s="29">
        <f>MONTH(W_カレンダー[[#This Row],[日付]])</f>
        <v>1</v>
      </c>
      <c r="C1384" s="1">
        <f>YEAR(W_カレンダー[[#This Row],[日付]])</f>
        <v>2027</v>
      </c>
      <c r="D1384" s="1">
        <f>IF(W_カレンダー[[#This Row],[月]]&lt;=3,W_カレンダー[[#This Row],[暦年]]-1,W_カレンダー[[#This Row],[暦年]])</f>
        <v>2026</v>
      </c>
      <c r="E1384" s="1" t="str">
        <f>IF(W_カレンダー[[#This Row],[月]]&lt;=3,"Q4",IF(W_カレンダー[[#This Row],[月]]&lt;=6,"Q1",IF(W_カレンダー[[#This Row],[月]]&lt;=9,"Q2","Q3")))</f>
        <v>Q4</v>
      </c>
    </row>
    <row r="1385" spans="1:5" ht="18" customHeight="1" x14ac:dyDescent="0.25">
      <c r="A1385" s="27">
        <v>46400</v>
      </c>
      <c r="B1385" s="29">
        <f>MONTH(W_カレンダー[[#This Row],[日付]])</f>
        <v>1</v>
      </c>
      <c r="C1385" s="1">
        <f>YEAR(W_カレンダー[[#This Row],[日付]])</f>
        <v>2027</v>
      </c>
      <c r="D1385" s="1">
        <f>IF(W_カレンダー[[#This Row],[月]]&lt;=3,W_カレンダー[[#This Row],[暦年]]-1,W_カレンダー[[#This Row],[暦年]])</f>
        <v>2026</v>
      </c>
      <c r="E1385" s="1" t="str">
        <f>IF(W_カレンダー[[#This Row],[月]]&lt;=3,"Q4",IF(W_カレンダー[[#This Row],[月]]&lt;=6,"Q1",IF(W_カレンダー[[#This Row],[月]]&lt;=9,"Q2","Q3")))</f>
        <v>Q4</v>
      </c>
    </row>
    <row r="1386" spans="1:5" ht="18" customHeight="1" x14ac:dyDescent="0.25">
      <c r="A1386" s="27">
        <v>46401</v>
      </c>
      <c r="B1386" s="29">
        <f>MONTH(W_カレンダー[[#This Row],[日付]])</f>
        <v>1</v>
      </c>
      <c r="C1386" s="1">
        <f>YEAR(W_カレンダー[[#This Row],[日付]])</f>
        <v>2027</v>
      </c>
      <c r="D1386" s="1">
        <f>IF(W_カレンダー[[#This Row],[月]]&lt;=3,W_カレンダー[[#This Row],[暦年]]-1,W_カレンダー[[#This Row],[暦年]])</f>
        <v>2026</v>
      </c>
      <c r="E1386" s="1" t="str">
        <f>IF(W_カレンダー[[#This Row],[月]]&lt;=3,"Q4",IF(W_カレンダー[[#This Row],[月]]&lt;=6,"Q1",IF(W_カレンダー[[#This Row],[月]]&lt;=9,"Q2","Q3")))</f>
        <v>Q4</v>
      </c>
    </row>
    <row r="1387" spans="1:5" ht="18" customHeight="1" x14ac:dyDescent="0.25">
      <c r="A1387" s="27">
        <v>46402</v>
      </c>
      <c r="B1387" s="29">
        <f>MONTH(W_カレンダー[[#This Row],[日付]])</f>
        <v>1</v>
      </c>
      <c r="C1387" s="1">
        <f>YEAR(W_カレンダー[[#This Row],[日付]])</f>
        <v>2027</v>
      </c>
      <c r="D1387" s="1">
        <f>IF(W_カレンダー[[#This Row],[月]]&lt;=3,W_カレンダー[[#This Row],[暦年]]-1,W_カレンダー[[#This Row],[暦年]])</f>
        <v>2026</v>
      </c>
      <c r="E1387" s="1" t="str">
        <f>IF(W_カレンダー[[#This Row],[月]]&lt;=3,"Q4",IF(W_カレンダー[[#This Row],[月]]&lt;=6,"Q1",IF(W_カレンダー[[#This Row],[月]]&lt;=9,"Q2","Q3")))</f>
        <v>Q4</v>
      </c>
    </row>
    <row r="1388" spans="1:5" ht="18" customHeight="1" x14ac:dyDescent="0.25">
      <c r="A1388" s="27">
        <v>46403</v>
      </c>
      <c r="B1388" s="29">
        <f>MONTH(W_カレンダー[[#This Row],[日付]])</f>
        <v>1</v>
      </c>
      <c r="C1388" s="1">
        <f>YEAR(W_カレンダー[[#This Row],[日付]])</f>
        <v>2027</v>
      </c>
      <c r="D1388" s="1">
        <f>IF(W_カレンダー[[#This Row],[月]]&lt;=3,W_カレンダー[[#This Row],[暦年]]-1,W_カレンダー[[#This Row],[暦年]])</f>
        <v>2026</v>
      </c>
      <c r="E1388" s="1" t="str">
        <f>IF(W_カレンダー[[#This Row],[月]]&lt;=3,"Q4",IF(W_カレンダー[[#This Row],[月]]&lt;=6,"Q1",IF(W_カレンダー[[#This Row],[月]]&lt;=9,"Q2","Q3")))</f>
        <v>Q4</v>
      </c>
    </row>
    <row r="1389" spans="1:5" ht="18" customHeight="1" x14ac:dyDescent="0.25">
      <c r="A1389" s="27">
        <v>46404</v>
      </c>
      <c r="B1389" s="29">
        <f>MONTH(W_カレンダー[[#This Row],[日付]])</f>
        <v>1</v>
      </c>
      <c r="C1389" s="1">
        <f>YEAR(W_カレンダー[[#This Row],[日付]])</f>
        <v>2027</v>
      </c>
      <c r="D1389" s="1">
        <f>IF(W_カレンダー[[#This Row],[月]]&lt;=3,W_カレンダー[[#This Row],[暦年]]-1,W_カレンダー[[#This Row],[暦年]])</f>
        <v>2026</v>
      </c>
      <c r="E1389" s="1" t="str">
        <f>IF(W_カレンダー[[#This Row],[月]]&lt;=3,"Q4",IF(W_カレンダー[[#This Row],[月]]&lt;=6,"Q1",IF(W_カレンダー[[#This Row],[月]]&lt;=9,"Q2","Q3")))</f>
        <v>Q4</v>
      </c>
    </row>
    <row r="1390" spans="1:5" ht="18" customHeight="1" x14ac:dyDescent="0.25">
      <c r="A1390" s="27">
        <v>46405</v>
      </c>
      <c r="B1390" s="29">
        <f>MONTH(W_カレンダー[[#This Row],[日付]])</f>
        <v>1</v>
      </c>
      <c r="C1390" s="1">
        <f>YEAR(W_カレンダー[[#This Row],[日付]])</f>
        <v>2027</v>
      </c>
      <c r="D1390" s="1">
        <f>IF(W_カレンダー[[#This Row],[月]]&lt;=3,W_カレンダー[[#This Row],[暦年]]-1,W_カレンダー[[#This Row],[暦年]])</f>
        <v>2026</v>
      </c>
      <c r="E1390" s="1" t="str">
        <f>IF(W_カレンダー[[#This Row],[月]]&lt;=3,"Q4",IF(W_カレンダー[[#This Row],[月]]&lt;=6,"Q1",IF(W_カレンダー[[#This Row],[月]]&lt;=9,"Q2","Q3")))</f>
        <v>Q4</v>
      </c>
    </row>
    <row r="1391" spans="1:5" ht="18" customHeight="1" x14ac:dyDescent="0.25">
      <c r="A1391" s="27">
        <v>46406</v>
      </c>
      <c r="B1391" s="29">
        <f>MONTH(W_カレンダー[[#This Row],[日付]])</f>
        <v>1</v>
      </c>
      <c r="C1391" s="1">
        <f>YEAR(W_カレンダー[[#This Row],[日付]])</f>
        <v>2027</v>
      </c>
      <c r="D1391" s="1">
        <f>IF(W_カレンダー[[#This Row],[月]]&lt;=3,W_カレンダー[[#This Row],[暦年]]-1,W_カレンダー[[#This Row],[暦年]])</f>
        <v>2026</v>
      </c>
      <c r="E1391" s="1" t="str">
        <f>IF(W_カレンダー[[#This Row],[月]]&lt;=3,"Q4",IF(W_カレンダー[[#This Row],[月]]&lt;=6,"Q1",IF(W_カレンダー[[#This Row],[月]]&lt;=9,"Q2","Q3")))</f>
        <v>Q4</v>
      </c>
    </row>
    <row r="1392" spans="1:5" ht="18" customHeight="1" x14ac:dyDescent="0.25">
      <c r="A1392" s="27">
        <v>46407</v>
      </c>
      <c r="B1392" s="29">
        <f>MONTH(W_カレンダー[[#This Row],[日付]])</f>
        <v>1</v>
      </c>
      <c r="C1392" s="1">
        <f>YEAR(W_カレンダー[[#This Row],[日付]])</f>
        <v>2027</v>
      </c>
      <c r="D1392" s="1">
        <f>IF(W_カレンダー[[#This Row],[月]]&lt;=3,W_カレンダー[[#This Row],[暦年]]-1,W_カレンダー[[#This Row],[暦年]])</f>
        <v>2026</v>
      </c>
      <c r="E1392" s="1" t="str">
        <f>IF(W_カレンダー[[#This Row],[月]]&lt;=3,"Q4",IF(W_カレンダー[[#This Row],[月]]&lt;=6,"Q1",IF(W_カレンダー[[#This Row],[月]]&lt;=9,"Q2","Q3")))</f>
        <v>Q4</v>
      </c>
    </row>
    <row r="1393" spans="1:5" ht="18" customHeight="1" x14ac:dyDescent="0.25">
      <c r="A1393" s="27">
        <v>46408</v>
      </c>
      <c r="B1393" s="29">
        <f>MONTH(W_カレンダー[[#This Row],[日付]])</f>
        <v>1</v>
      </c>
      <c r="C1393" s="1">
        <f>YEAR(W_カレンダー[[#This Row],[日付]])</f>
        <v>2027</v>
      </c>
      <c r="D1393" s="1">
        <f>IF(W_カレンダー[[#This Row],[月]]&lt;=3,W_カレンダー[[#This Row],[暦年]]-1,W_カレンダー[[#This Row],[暦年]])</f>
        <v>2026</v>
      </c>
      <c r="E1393" s="1" t="str">
        <f>IF(W_カレンダー[[#This Row],[月]]&lt;=3,"Q4",IF(W_カレンダー[[#This Row],[月]]&lt;=6,"Q1",IF(W_カレンダー[[#This Row],[月]]&lt;=9,"Q2","Q3")))</f>
        <v>Q4</v>
      </c>
    </row>
    <row r="1394" spans="1:5" ht="18" customHeight="1" x14ac:dyDescent="0.25">
      <c r="A1394" s="27">
        <v>46409</v>
      </c>
      <c r="B1394" s="29">
        <f>MONTH(W_カレンダー[[#This Row],[日付]])</f>
        <v>1</v>
      </c>
      <c r="C1394" s="1">
        <f>YEAR(W_カレンダー[[#This Row],[日付]])</f>
        <v>2027</v>
      </c>
      <c r="D1394" s="1">
        <f>IF(W_カレンダー[[#This Row],[月]]&lt;=3,W_カレンダー[[#This Row],[暦年]]-1,W_カレンダー[[#This Row],[暦年]])</f>
        <v>2026</v>
      </c>
      <c r="E1394" s="1" t="str">
        <f>IF(W_カレンダー[[#This Row],[月]]&lt;=3,"Q4",IF(W_カレンダー[[#This Row],[月]]&lt;=6,"Q1",IF(W_カレンダー[[#This Row],[月]]&lt;=9,"Q2","Q3")))</f>
        <v>Q4</v>
      </c>
    </row>
    <row r="1395" spans="1:5" ht="18" customHeight="1" x14ac:dyDescent="0.25">
      <c r="A1395" s="27">
        <v>46410</v>
      </c>
      <c r="B1395" s="29">
        <f>MONTH(W_カレンダー[[#This Row],[日付]])</f>
        <v>1</v>
      </c>
      <c r="C1395" s="1">
        <f>YEAR(W_カレンダー[[#This Row],[日付]])</f>
        <v>2027</v>
      </c>
      <c r="D1395" s="1">
        <f>IF(W_カレンダー[[#This Row],[月]]&lt;=3,W_カレンダー[[#This Row],[暦年]]-1,W_カレンダー[[#This Row],[暦年]])</f>
        <v>2026</v>
      </c>
      <c r="E1395" s="1" t="str">
        <f>IF(W_カレンダー[[#This Row],[月]]&lt;=3,"Q4",IF(W_カレンダー[[#This Row],[月]]&lt;=6,"Q1",IF(W_カレンダー[[#This Row],[月]]&lt;=9,"Q2","Q3")))</f>
        <v>Q4</v>
      </c>
    </row>
    <row r="1396" spans="1:5" ht="18" customHeight="1" x14ac:dyDescent="0.25">
      <c r="A1396" s="27">
        <v>46411</v>
      </c>
      <c r="B1396" s="29">
        <f>MONTH(W_カレンダー[[#This Row],[日付]])</f>
        <v>1</v>
      </c>
      <c r="C1396" s="1">
        <f>YEAR(W_カレンダー[[#This Row],[日付]])</f>
        <v>2027</v>
      </c>
      <c r="D1396" s="1">
        <f>IF(W_カレンダー[[#This Row],[月]]&lt;=3,W_カレンダー[[#This Row],[暦年]]-1,W_カレンダー[[#This Row],[暦年]])</f>
        <v>2026</v>
      </c>
      <c r="E1396" s="1" t="str">
        <f>IF(W_カレンダー[[#This Row],[月]]&lt;=3,"Q4",IF(W_カレンダー[[#This Row],[月]]&lt;=6,"Q1",IF(W_カレンダー[[#This Row],[月]]&lt;=9,"Q2","Q3")))</f>
        <v>Q4</v>
      </c>
    </row>
    <row r="1397" spans="1:5" ht="18" customHeight="1" x14ac:dyDescent="0.25">
      <c r="A1397" s="27">
        <v>46412</v>
      </c>
      <c r="B1397" s="29">
        <f>MONTH(W_カレンダー[[#This Row],[日付]])</f>
        <v>1</v>
      </c>
      <c r="C1397" s="1">
        <f>YEAR(W_カレンダー[[#This Row],[日付]])</f>
        <v>2027</v>
      </c>
      <c r="D1397" s="1">
        <f>IF(W_カレンダー[[#This Row],[月]]&lt;=3,W_カレンダー[[#This Row],[暦年]]-1,W_カレンダー[[#This Row],[暦年]])</f>
        <v>2026</v>
      </c>
      <c r="E1397" s="1" t="str">
        <f>IF(W_カレンダー[[#This Row],[月]]&lt;=3,"Q4",IF(W_カレンダー[[#This Row],[月]]&lt;=6,"Q1",IF(W_カレンダー[[#This Row],[月]]&lt;=9,"Q2","Q3")))</f>
        <v>Q4</v>
      </c>
    </row>
    <row r="1398" spans="1:5" ht="18" customHeight="1" x14ac:dyDescent="0.25">
      <c r="A1398" s="27">
        <v>46413</v>
      </c>
      <c r="B1398" s="29">
        <f>MONTH(W_カレンダー[[#This Row],[日付]])</f>
        <v>1</v>
      </c>
      <c r="C1398" s="1">
        <f>YEAR(W_カレンダー[[#This Row],[日付]])</f>
        <v>2027</v>
      </c>
      <c r="D1398" s="1">
        <f>IF(W_カレンダー[[#This Row],[月]]&lt;=3,W_カレンダー[[#This Row],[暦年]]-1,W_カレンダー[[#This Row],[暦年]])</f>
        <v>2026</v>
      </c>
      <c r="E1398" s="1" t="str">
        <f>IF(W_カレンダー[[#This Row],[月]]&lt;=3,"Q4",IF(W_カレンダー[[#This Row],[月]]&lt;=6,"Q1",IF(W_カレンダー[[#This Row],[月]]&lt;=9,"Q2","Q3")))</f>
        <v>Q4</v>
      </c>
    </row>
    <row r="1399" spans="1:5" ht="18" customHeight="1" x14ac:dyDescent="0.25">
      <c r="A1399" s="27">
        <v>46414</v>
      </c>
      <c r="B1399" s="29">
        <f>MONTH(W_カレンダー[[#This Row],[日付]])</f>
        <v>1</v>
      </c>
      <c r="C1399" s="1">
        <f>YEAR(W_カレンダー[[#This Row],[日付]])</f>
        <v>2027</v>
      </c>
      <c r="D1399" s="1">
        <f>IF(W_カレンダー[[#This Row],[月]]&lt;=3,W_カレンダー[[#This Row],[暦年]]-1,W_カレンダー[[#This Row],[暦年]])</f>
        <v>2026</v>
      </c>
      <c r="E1399" s="1" t="str">
        <f>IF(W_カレンダー[[#This Row],[月]]&lt;=3,"Q4",IF(W_カレンダー[[#This Row],[月]]&lt;=6,"Q1",IF(W_カレンダー[[#This Row],[月]]&lt;=9,"Q2","Q3")))</f>
        <v>Q4</v>
      </c>
    </row>
    <row r="1400" spans="1:5" ht="18" customHeight="1" x14ac:dyDescent="0.25">
      <c r="A1400" s="27">
        <v>46415</v>
      </c>
      <c r="B1400" s="29">
        <f>MONTH(W_カレンダー[[#This Row],[日付]])</f>
        <v>1</v>
      </c>
      <c r="C1400" s="1">
        <f>YEAR(W_カレンダー[[#This Row],[日付]])</f>
        <v>2027</v>
      </c>
      <c r="D1400" s="1">
        <f>IF(W_カレンダー[[#This Row],[月]]&lt;=3,W_カレンダー[[#This Row],[暦年]]-1,W_カレンダー[[#This Row],[暦年]])</f>
        <v>2026</v>
      </c>
      <c r="E1400" s="1" t="str">
        <f>IF(W_カレンダー[[#This Row],[月]]&lt;=3,"Q4",IF(W_カレンダー[[#This Row],[月]]&lt;=6,"Q1",IF(W_カレンダー[[#This Row],[月]]&lt;=9,"Q2","Q3")))</f>
        <v>Q4</v>
      </c>
    </row>
    <row r="1401" spans="1:5" ht="18" customHeight="1" x14ac:dyDescent="0.25">
      <c r="A1401" s="27">
        <v>46416</v>
      </c>
      <c r="B1401" s="29">
        <f>MONTH(W_カレンダー[[#This Row],[日付]])</f>
        <v>1</v>
      </c>
      <c r="C1401" s="1">
        <f>YEAR(W_カレンダー[[#This Row],[日付]])</f>
        <v>2027</v>
      </c>
      <c r="D1401" s="1">
        <f>IF(W_カレンダー[[#This Row],[月]]&lt;=3,W_カレンダー[[#This Row],[暦年]]-1,W_カレンダー[[#This Row],[暦年]])</f>
        <v>2026</v>
      </c>
      <c r="E1401" s="1" t="str">
        <f>IF(W_カレンダー[[#This Row],[月]]&lt;=3,"Q4",IF(W_カレンダー[[#This Row],[月]]&lt;=6,"Q1",IF(W_カレンダー[[#This Row],[月]]&lt;=9,"Q2","Q3")))</f>
        <v>Q4</v>
      </c>
    </row>
    <row r="1402" spans="1:5" ht="18" customHeight="1" x14ac:dyDescent="0.25">
      <c r="A1402" s="27">
        <v>46417</v>
      </c>
      <c r="B1402" s="29">
        <f>MONTH(W_カレンダー[[#This Row],[日付]])</f>
        <v>1</v>
      </c>
      <c r="C1402" s="1">
        <f>YEAR(W_カレンダー[[#This Row],[日付]])</f>
        <v>2027</v>
      </c>
      <c r="D1402" s="1">
        <f>IF(W_カレンダー[[#This Row],[月]]&lt;=3,W_カレンダー[[#This Row],[暦年]]-1,W_カレンダー[[#This Row],[暦年]])</f>
        <v>2026</v>
      </c>
      <c r="E1402" s="1" t="str">
        <f>IF(W_カレンダー[[#This Row],[月]]&lt;=3,"Q4",IF(W_カレンダー[[#This Row],[月]]&lt;=6,"Q1",IF(W_カレンダー[[#This Row],[月]]&lt;=9,"Q2","Q3")))</f>
        <v>Q4</v>
      </c>
    </row>
    <row r="1403" spans="1:5" ht="18" customHeight="1" x14ac:dyDescent="0.25">
      <c r="A1403" s="27">
        <v>46418</v>
      </c>
      <c r="B1403" s="29">
        <f>MONTH(W_カレンダー[[#This Row],[日付]])</f>
        <v>1</v>
      </c>
      <c r="C1403" s="1">
        <f>YEAR(W_カレンダー[[#This Row],[日付]])</f>
        <v>2027</v>
      </c>
      <c r="D1403" s="1">
        <f>IF(W_カレンダー[[#This Row],[月]]&lt;=3,W_カレンダー[[#This Row],[暦年]]-1,W_カレンダー[[#This Row],[暦年]])</f>
        <v>2026</v>
      </c>
      <c r="E1403" s="1" t="str">
        <f>IF(W_カレンダー[[#This Row],[月]]&lt;=3,"Q4",IF(W_カレンダー[[#This Row],[月]]&lt;=6,"Q1",IF(W_カレンダー[[#This Row],[月]]&lt;=9,"Q2","Q3")))</f>
        <v>Q4</v>
      </c>
    </row>
    <row r="1404" spans="1:5" ht="18" customHeight="1" x14ac:dyDescent="0.25">
      <c r="A1404" s="27">
        <v>46419</v>
      </c>
      <c r="B1404" s="29">
        <f>MONTH(W_カレンダー[[#This Row],[日付]])</f>
        <v>2</v>
      </c>
      <c r="C1404" s="1">
        <f>YEAR(W_カレンダー[[#This Row],[日付]])</f>
        <v>2027</v>
      </c>
      <c r="D1404" s="1">
        <f>IF(W_カレンダー[[#This Row],[月]]&lt;=3,W_カレンダー[[#This Row],[暦年]]-1,W_カレンダー[[#This Row],[暦年]])</f>
        <v>2026</v>
      </c>
      <c r="E1404" s="1" t="str">
        <f>IF(W_カレンダー[[#This Row],[月]]&lt;=3,"Q4",IF(W_カレンダー[[#This Row],[月]]&lt;=6,"Q1",IF(W_カレンダー[[#This Row],[月]]&lt;=9,"Q2","Q3")))</f>
        <v>Q4</v>
      </c>
    </row>
    <row r="1405" spans="1:5" ht="18" customHeight="1" x14ac:dyDescent="0.25">
      <c r="A1405" s="27">
        <v>46420</v>
      </c>
      <c r="B1405" s="29">
        <f>MONTH(W_カレンダー[[#This Row],[日付]])</f>
        <v>2</v>
      </c>
      <c r="C1405" s="1">
        <f>YEAR(W_カレンダー[[#This Row],[日付]])</f>
        <v>2027</v>
      </c>
      <c r="D1405" s="1">
        <f>IF(W_カレンダー[[#This Row],[月]]&lt;=3,W_カレンダー[[#This Row],[暦年]]-1,W_カレンダー[[#This Row],[暦年]])</f>
        <v>2026</v>
      </c>
      <c r="E1405" s="1" t="str">
        <f>IF(W_カレンダー[[#This Row],[月]]&lt;=3,"Q4",IF(W_カレンダー[[#This Row],[月]]&lt;=6,"Q1",IF(W_カレンダー[[#This Row],[月]]&lt;=9,"Q2","Q3")))</f>
        <v>Q4</v>
      </c>
    </row>
    <row r="1406" spans="1:5" ht="18" customHeight="1" x14ac:dyDescent="0.25">
      <c r="A1406" s="27">
        <v>46421</v>
      </c>
      <c r="B1406" s="29">
        <f>MONTH(W_カレンダー[[#This Row],[日付]])</f>
        <v>2</v>
      </c>
      <c r="C1406" s="1">
        <f>YEAR(W_カレンダー[[#This Row],[日付]])</f>
        <v>2027</v>
      </c>
      <c r="D1406" s="1">
        <f>IF(W_カレンダー[[#This Row],[月]]&lt;=3,W_カレンダー[[#This Row],[暦年]]-1,W_カレンダー[[#This Row],[暦年]])</f>
        <v>2026</v>
      </c>
      <c r="E1406" s="1" t="str">
        <f>IF(W_カレンダー[[#This Row],[月]]&lt;=3,"Q4",IF(W_カレンダー[[#This Row],[月]]&lt;=6,"Q1",IF(W_カレンダー[[#This Row],[月]]&lt;=9,"Q2","Q3")))</f>
        <v>Q4</v>
      </c>
    </row>
    <row r="1407" spans="1:5" ht="18" customHeight="1" x14ac:dyDescent="0.25">
      <c r="A1407" s="27">
        <v>46422</v>
      </c>
      <c r="B1407" s="29">
        <f>MONTH(W_カレンダー[[#This Row],[日付]])</f>
        <v>2</v>
      </c>
      <c r="C1407" s="1">
        <f>YEAR(W_カレンダー[[#This Row],[日付]])</f>
        <v>2027</v>
      </c>
      <c r="D1407" s="1">
        <f>IF(W_カレンダー[[#This Row],[月]]&lt;=3,W_カレンダー[[#This Row],[暦年]]-1,W_カレンダー[[#This Row],[暦年]])</f>
        <v>2026</v>
      </c>
      <c r="E1407" s="1" t="str">
        <f>IF(W_カレンダー[[#This Row],[月]]&lt;=3,"Q4",IF(W_カレンダー[[#This Row],[月]]&lt;=6,"Q1",IF(W_カレンダー[[#This Row],[月]]&lt;=9,"Q2","Q3")))</f>
        <v>Q4</v>
      </c>
    </row>
    <row r="1408" spans="1:5" ht="18" customHeight="1" x14ac:dyDescent="0.25">
      <c r="A1408" s="27">
        <v>46423</v>
      </c>
      <c r="B1408" s="29">
        <f>MONTH(W_カレンダー[[#This Row],[日付]])</f>
        <v>2</v>
      </c>
      <c r="C1408" s="1">
        <f>YEAR(W_カレンダー[[#This Row],[日付]])</f>
        <v>2027</v>
      </c>
      <c r="D1408" s="1">
        <f>IF(W_カレンダー[[#This Row],[月]]&lt;=3,W_カレンダー[[#This Row],[暦年]]-1,W_カレンダー[[#This Row],[暦年]])</f>
        <v>2026</v>
      </c>
      <c r="E1408" s="1" t="str">
        <f>IF(W_カレンダー[[#This Row],[月]]&lt;=3,"Q4",IF(W_カレンダー[[#This Row],[月]]&lt;=6,"Q1",IF(W_カレンダー[[#This Row],[月]]&lt;=9,"Q2","Q3")))</f>
        <v>Q4</v>
      </c>
    </row>
    <row r="1409" spans="1:5" ht="18" customHeight="1" x14ac:dyDescent="0.25">
      <c r="A1409" s="27">
        <v>46424</v>
      </c>
      <c r="B1409" s="29">
        <f>MONTH(W_カレンダー[[#This Row],[日付]])</f>
        <v>2</v>
      </c>
      <c r="C1409" s="1">
        <f>YEAR(W_カレンダー[[#This Row],[日付]])</f>
        <v>2027</v>
      </c>
      <c r="D1409" s="1">
        <f>IF(W_カレンダー[[#This Row],[月]]&lt;=3,W_カレンダー[[#This Row],[暦年]]-1,W_カレンダー[[#This Row],[暦年]])</f>
        <v>2026</v>
      </c>
      <c r="E1409" s="1" t="str">
        <f>IF(W_カレンダー[[#This Row],[月]]&lt;=3,"Q4",IF(W_カレンダー[[#This Row],[月]]&lt;=6,"Q1",IF(W_カレンダー[[#This Row],[月]]&lt;=9,"Q2","Q3")))</f>
        <v>Q4</v>
      </c>
    </row>
    <row r="1410" spans="1:5" ht="18" customHeight="1" x14ac:dyDescent="0.25">
      <c r="A1410" s="27">
        <v>46425</v>
      </c>
      <c r="B1410" s="29">
        <f>MONTH(W_カレンダー[[#This Row],[日付]])</f>
        <v>2</v>
      </c>
      <c r="C1410" s="1">
        <f>YEAR(W_カレンダー[[#This Row],[日付]])</f>
        <v>2027</v>
      </c>
      <c r="D1410" s="1">
        <f>IF(W_カレンダー[[#This Row],[月]]&lt;=3,W_カレンダー[[#This Row],[暦年]]-1,W_カレンダー[[#This Row],[暦年]])</f>
        <v>2026</v>
      </c>
      <c r="E1410" s="1" t="str">
        <f>IF(W_カレンダー[[#This Row],[月]]&lt;=3,"Q4",IF(W_カレンダー[[#This Row],[月]]&lt;=6,"Q1",IF(W_カレンダー[[#This Row],[月]]&lt;=9,"Q2","Q3")))</f>
        <v>Q4</v>
      </c>
    </row>
    <row r="1411" spans="1:5" ht="18" customHeight="1" x14ac:dyDescent="0.25">
      <c r="A1411" s="27">
        <v>46426</v>
      </c>
      <c r="B1411" s="29">
        <f>MONTH(W_カレンダー[[#This Row],[日付]])</f>
        <v>2</v>
      </c>
      <c r="C1411" s="1">
        <f>YEAR(W_カレンダー[[#This Row],[日付]])</f>
        <v>2027</v>
      </c>
      <c r="D1411" s="1">
        <f>IF(W_カレンダー[[#This Row],[月]]&lt;=3,W_カレンダー[[#This Row],[暦年]]-1,W_カレンダー[[#This Row],[暦年]])</f>
        <v>2026</v>
      </c>
      <c r="E1411" s="1" t="str">
        <f>IF(W_カレンダー[[#This Row],[月]]&lt;=3,"Q4",IF(W_カレンダー[[#This Row],[月]]&lt;=6,"Q1",IF(W_カレンダー[[#This Row],[月]]&lt;=9,"Q2","Q3")))</f>
        <v>Q4</v>
      </c>
    </row>
    <row r="1412" spans="1:5" ht="18" customHeight="1" x14ac:dyDescent="0.25">
      <c r="A1412" s="27">
        <v>46427</v>
      </c>
      <c r="B1412" s="29">
        <f>MONTH(W_カレンダー[[#This Row],[日付]])</f>
        <v>2</v>
      </c>
      <c r="C1412" s="1">
        <f>YEAR(W_カレンダー[[#This Row],[日付]])</f>
        <v>2027</v>
      </c>
      <c r="D1412" s="1">
        <f>IF(W_カレンダー[[#This Row],[月]]&lt;=3,W_カレンダー[[#This Row],[暦年]]-1,W_カレンダー[[#This Row],[暦年]])</f>
        <v>2026</v>
      </c>
      <c r="E1412" s="1" t="str">
        <f>IF(W_カレンダー[[#This Row],[月]]&lt;=3,"Q4",IF(W_カレンダー[[#This Row],[月]]&lt;=6,"Q1",IF(W_カレンダー[[#This Row],[月]]&lt;=9,"Q2","Q3")))</f>
        <v>Q4</v>
      </c>
    </row>
    <row r="1413" spans="1:5" ht="18" customHeight="1" x14ac:dyDescent="0.25">
      <c r="A1413" s="27">
        <v>46428</v>
      </c>
      <c r="B1413" s="29">
        <f>MONTH(W_カレンダー[[#This Row],[日付]])</f>
        <v>2</v>
      </c>
      <c r="C1413" s="1">
        <f>YEAR(W_カレンダー[[#This Row],[日付]])</f>
        <v>2027</v>
      </c>
      <c r="D1413" s="1">
        <f>IF(W_カレンダー[[#This Row],[月]]&lt;=3,W_カレンダー[[#This Row],[暦年]]-1,W_カレンダー[[#This Row],[暦年]])</f>
        <v>2026</v>
      </c>
      <c r="E1413" s="1" t="str">
        <f>IF(W_カレンダー[[#This Row],[月]]&lt;=3,"Q4",IF(W_カレンダー[[#This Row],[月]]&lt;=6,"Q1",IF(W_カレンダー[[#This Row],[月]]&lt;=9,"Q2","Q3")))</f>
        <v>Q4</v>
      </c>
    </row>
    <row r="1414" spans="1:5" ht="18" customHeight="1" x14ac:dyDescent="0.25">
      <c r="A1414" s="27">
        <v>46429</v>
      </c>
      <c r="B1414" s="29">
        <f>MONTH(W_カレンダー[[#This Row],[日付]])</f>
        <v>2</v>
      </c>
      <c r="C1414" s="1">
        <f>YEAR(W_カレンダー[[#This Row],[日付]])</f>
        <v>2027</v>
      </c>
      <c r="D1414" s="1">
        <f>IF(W_カレンダー[[#This Row],[月]]&lt;=3,W_カレンダー[[#This Row],[暦年]]-1,W_カレンダー[[#This Row],[暦年]])</f>
        <v>2026</v>
      </c>
      <c r="E1414" s="1" t="str">
        <f>IF(W_カレンダー[[#This Row],[月]]&lt;=3,"Q4",IF(W_カレンダー[[#This Row],[月]]&lt;=6,"Q1",IF(W_カレンダー[[#This Row],[月]]&lt;=9,"Q2","Q3")))</f>
        <v>Q4</v>
      </c>
    </row>
    <row r="1415" spans="1:5" ht="18" customHeight="1" x14ac:dyDescent="0.25">
      <c r="A1415" s="27">
        <v>46430</v>
      </c>
      <c r="B1415" s="29">
        <f>MONTH(W_カレンダー[[#This Row],[日付]])</f>
        <v>2</v>
      </c>
      <c r="C1415" s="1">
        <f>YEAR(W_カレンダー[[#This Row],[日付]])</f>
        <v>2027</v>
      </c>
      <c r="D1415" s="1">
        <f>IF(W_カレンダー[[#This Row],[月]]&lt;=3,W_カレンダー[[#This Row],[暦年]]-1,W_カレンダー[[#This Row],[暦年]])</f>
        <v>2026</v>
      </c>
      <c r="E1415" s="1" t="str">
        <f>IF(W_カレンダー[[#This Row],[月]]&lt;=3,"Q4",IF(W_カレンダー[[#This Row],[月]]&lt;=6,"Q1",IF(W_カレンダー[[#This Row],[月]]&lt;=9,"Q2","Q3")))</f>
        <v>Q4</v>
      </c>
    </row>
    <row r="1416" spans="1:5" ht="18" customHeight="1" x14ac:dyDescent="0.25">
      <c r="A1416" s="27">
        <v>46431</v>
      </c>
      <c r="B1416" s="29">
        <f>MONTH(W_カレンダー[[#This Row],[日付]])</f>
        <v>2</v>
      </c>
      <c r="C1416" s="1">
        <f>YEAR(W_カレンダー[[#This Row],[日付]])</f>
        <v>2027</v>
      </c>
      <c r="D1416" s="1">
        <f>IF(W_カレンダー[[#This Row],[月]]&lt;=3,W_カレンダー[[#This Row],[暦年]]-1,W_カレンダー[[#This Row],[暦年]])</f>
        <v>2026</v>
      </c>
      <c r="E1416" s="1" t="str">
        <f>IF(W_カレンダー[[#This Row],[月]]&lt;=3,"Q4",IF(W_カレンダー[[#This Row],[月]]&lt;=6,"Q1",IF(W_カレンダー[[#This Row],[月]]&lt;=9,"Q2","Q3")))</f>
        <v>Q4</v>
      </c>
    </row>
    <row r="1417" spans="1:5" ht="18" customHeight="1" x14ac:dyDescent="0.25">
      <c r="A1417" s="27">
        <v>46432</v>
      </c>
      <c r="B1417" s="29">
        <f>MONTH(W_カレンダー[[#This Row],[日付]])</f>
        <v>2</v>
      </c>
      <c r="C1417" s="1">
        <f>YEAR(W_カレンダー[[#This Row],[日付]])</f>
        <v>2027</v>
      </c>
      <c r="D1417" s="1">
        <f>IF(W_カレンダー[[#This Row],[月]]&lt;=3,W_カレンダー[[#This Row],[暦年]]-1,W_カレンダー[[#This Row],[暦年]])</f>
        <v>2026</v>
      </c>
      <c r="E1417" s="1" t="str">
        <f>IF(W_カレンダー[[#This Row],[月]]&lt;=3,"Q4",IF(W_カレンダー[[#This Row],[月]]&lt;=6,"Q1",IF(W_カレンダー[[#This Row],[月]]&lt;=9,"Q2","Q3")))</f>
        <v>Q4</v>
      </c>
    </row>
    <row r="1418" spans="1:5" ht="18" customHeight="1" x14ac:dyDescent="0.25">
      <c r="A1418" s="27">
        <v>46433</v>
      </c>
      <c r="B1418" s="29">
        <f>MONTH(W_カレンダー[[#This Row],[日付]])</f>
        <v>2</v>
      </c>
      <c r="C1418" s="1">
        <f>YEAR(W_カレンダー[[#This Row],[日付]])</f>
        <v>2027</v>
      </c>
      <c r="D1418" s="1">
        <f>IF(W_カレンダー[[#This Row],[月]]&lt;=3,W_カレンダー[[#This Row],[暦年]]-1,W_カレンダー[[#This Row],[暦年]])</f>
        <v>2026</v>
      </c>
      <c r="E1418" s="1" t="str">
        <f>IF(W_カレンダー[[#This Row],[月]]&lt;=3,"Q4",IF(W_カレンダー[[#This Row],[月]]&lt;=6,"Q1",IF(W_カレンダー[[#This Row],[月]]&lt;=9,"Q2","Q3")))</f>
        <v>Q4</v>
      </c>
    </row>
    <row r="1419" spans="1:5" ht="18" customHeight="1" x14ac:dyDescent="0.25">
      <c r="A1419" s="27">
        <v>46434</v>
      </c>
      <c r="B1419" s="29">
        <f>MONTH(W_カレンダー[[#This Row],[日付]])</f>
        <v>2</v>
      </c>
      <c r="C1419" s="1">
        <f>YEAR(W_カレンダー[[#This Row],[日付]])</f>
        <v>2027</v>
      </c>
      <c r="D1419" s="1">
        <f>IF(W_カレンダー[[#This Row],[月]]&lt;=3,W_カレンダー[[#This Row],[暦年]]-1,W_カレンダー[[#This Row],[暦年]])</f>
        <v>2026</v>
      </c>
      <c r="E1419" s="1" t="str">
        <f>IF(W_カレンダー[[#This Row],[月]]&lt;=3,"Q4",IF(W_カレンダー[[#This Row],[月]]&lt;=6,"Q1",IF(W_カレンダー[[#This Row],[月]]&lt;=9,"Q2","Q3")))</f>
        <v>Q4</v>
      </c>
    </row>
    <row r="1420" spans="1:5" ht="18" customHeight="1" x14ac:dyDescent="0.25">
      <c r="A1420" s="27">
        <v>46435</v>
      </c>
      <c r="B1420" s="29">
        <f>MONTH(W_カレンダー[[#This Row],[日付]])</f>
        <v>2</v>
      </c>
      <c r="C1420" s="1">
        <f>YEAR(W_カレンダー[[#This Row],[日付]])</f>
        <v>2027</v>
      </c>
      <c r="D1420" s="1">
        <f>IF(W_カレンダー[[#This Row],[月]]&lt;=3,W_カレンダー[[#This Row],[暦年]]-1,W_カレンダー[[#This Row],[暦年]])</f>
        <v>2026</v>
      </c>
      <c r="E1420" s="1" t="str">
        <f>IF(W_カレンダー[[#This Row],[月]]&lt;=3,"Q4",IF(W_カレンダー[[#This Row],[月]]&lt;=6,"Q1",IF(W_カレンダー[[#This Row],[月]]&lt;=9,"Q2","Q3")))</f>
        <v>Q4</v>
      </c>
    </row>
    <row r="1421" spans="1:5" ht="18" customHeight="1" x14ac:dyDescent="0.25">
      <c r="A1421" s="27">
        <v>46436</v>
      </c>
      <c r="B1421" s="29">
        <f>MONTH(W_カレンダー[[#This Row],[日付]])</f>
        <v>2</v>
      </c>
      <c r="C1421" s="1">
        <f>YEAR(W_カレンダー[[#This Row],[日付]])</f>
        <v>2027</v>
      </c>
      <c r="D1421" s="1">
        <f>IF(W_カレンダー[[#This Row],[月]]&lt;=3,W_カレンダー[[#This Row],[暦年]]-1,W_カレンダー[[#This Row],[暦年]])</f>
        <v>2026</v>
      </c>
      <c r="E1421" s="1" t="str">
        <f>IF(W_カレンダー[[#This Row],[月]]&lt;=3,"Q4",IF(W_カレンダー[[#This Row],[月]]&lt;=6,"Q1",IF(W_カレンダー[[#This Row],[月]]&lt;=9,"Q2","Q3")))</f>
        <v>Q4</v>
      </c>
    </row>
    <row r="1422" spans="1:5" ht="18" customHeight="1" x14ac:dyDescent="0.25">
      <c r="A1422" s="27">
        <v>46437</v>
      </c>
      <c r="B1422" s="29">
        <f>MONTH(W_カレンダー[[#This Row],[日付]])</f>
        <v>2</v>
      </c>
      <c r="C1422" s="1">
        <f>YEAR(W_カレンダー[[#This Row],[日付]])</f>
        <v>2027</v>
      </c>
      <c r="D1422" s="1">
        <f>IF(W_カレンダー[[#This Row],[月]]&lt;=3,W_カレンダー[[#This Row],[暦年]]-1,W_カレンダー[[#This Row],[暦年]])</f>
        <v>2026</v>
      </c>
      <c r="E1422" s="1" t="str">
        <f>IF(W_カレンダー[[#This Row],[月]]&lt;=3,"Q4",IF(W_カレンダー[[#This Row],[月]]&lt;=6,"Q1",IF(W_カレンダー[[#This Row],[月]]&lt;=9,"Q2","Q3")))</f>
        <v>Q4</v>
      </c>
    </row>
    <row r="1423" spans="1:5" ht="18" customHeight="1" x14ac:dyDescent="0.25">
      <c r="A1423" s="27">
        <v>46438</v>
      </c>
      <c r="B1423" s="29">
        <f>MONTH(W_カレンダー[[#This Row],[日付]])</f>
        <v>2</v>
      </c>
      <c r="C1423" s="1">
        <f>YEAR(W_カレンダー[[#This Row],[日付]])</f>
        <v>2027</v>
      </c>
      <c r="D1423" s="1">
        <f>IF(W_カレンダー[[#This Row],[月]]&lt;=3,W_カレンダー[[#This Row],[暦年]]-1,W_カレンダー[[#This Row],[暦年]])</f>
        <v>2026</v>
      </c>
      <c r="E1423" s="1" t="str">
        <f>IF(W_カレンダー[[#This Row],[月]]&lt;=3,"Q4",IF(W_カレンダー[[#This Row],[月]]&lt;=6,"Q1",IF(W_カレンダー[[#This Row],[月]]&lt;=9,"Q2","Q3")))</f>
        <v>Q4</v>
      </c>
    </row>
    <row r="1424" spans="1:5" ht="18" customHeight="1" x14ac:dyDescent="0.25">
      <c r="A1424" s="27">
        <v>46439</v>
      </c>
      <c r="B1424" s="29">
        <f>MONTH(W_カレンダー[[#This Row],[日付]])</f>
        <v>2</v>
      </c>
      <c r="C1424" s="1">
        <f>YEAR(W_カレンダー[[#This Row],[日付]])</f>
        <v>2027</v>
      </c>
      <c r="D1424" s="1">
        <f>IF(W_カレンダー[[#This Row],[月]]&lt;=3,W_カレンダー[[#This Row],[暦年]]-1,W_カレンダー[[#This Row],[暦年]])</f>
        <v>2026</v>
      </c>
      <c r="E1424" s="1" t="str">
        <f>IF(W_カレンダー[[#This Row],[月]]&lt;=3,"Q4",IF(W_カレンダー[[#This Row],[月]]&lt;=6,"Q1",IF(W_カレンダー[[#This Row],[月]]&lt;=9,"Q2","Q3")))</f>
        <v>Q4</v>
      </c>
    </row>
    <row r="1425" spans="1:5" ht="18" customHeight="1" x14ac:dyDescent="0.25">
      <c r="A1425" s="27">
        <v>46440</v>
      </c>
      <c r="B1425" s="29">
        <f>MONTH(W_カレンダー[[#This Row],[日付]])</f>
        <v>2</v>
      </c>
      <c r="C1425" s="1">
        <f>YEAR(W_カレンダー[[#This Row],[日付]])</f>
        <v>2027</v>
      </c>
      <c r="D1425" s="1">
        <f>IF(W_カレンダー[[#This Row],[月]]&lt;=3,W_カレンダー[[#This Row],[暦年]]-1,W_カレンダー[[#This Row],[暦年]])</f>
        <v>2026</v>
      </c>
      <c r="E1425" s="1" t="str">
        <f>IF(W_カレンダー[[#This Row],[月]]&lt;=3,"Q4",IF(W_カレンダー[[#This Row],[月]]&lt;=6,"Q1",IF(W_カレンダー[[#This Row],[月]]&lt;=9,"Q2","Q3")))</f>
        <v>Q4</v>
      </c>
    </row>
    <row r="1426" spans="1:5" ht="18" customHeight="1" x14ac:dyDescent="0.25">
      <c r="A1426" s="27">
        <v>46441</v>
      </c>
      <c r="B1426" s="29">
        <f>MONTH(W_カレンダー[[#This Row],[日付]])</f>
        <v>2</v>
      </c>
      <c r="C1426" s="1">
        <f>YEAR(W_カレンダー[[#This Row],[日付]])</f>
        <v>2027</v>
      </c>
      <c r="D1426" s="1">
        <f>IF(W_カレンダー[[#This Row],[月]]&lt;=3,W_カレンダー[[#This Row],[暦年]]-1,W_カレンダー[[#This Row],[暦年]])</f>
        <v>2026</v>
      </c>
      <c r="E1426" s="1" t="str">
        <f>IF(W_カレンダー[[#This Row],[月]]&lt;=3,"Q4",IF(W_カレンダー[[#This Row],[月]]&lt;=6,"Q1",IF(W_カレンダー[[#This Row],[月]]&lt;=9,"Q2","Q3")))</f>
        <v>Q4</v>
      </c>
    </row>
    <row r="1427" spans="1:5" ht="18" customHeight="1" x14ac:dyDescent="0.25">
      <c r="A1427" s="27">
        <v>46442</v>
      </c>
      <c r="B1427" s="29">
        <f>MONTH(W_カレンダー[[#This Row],[日付]])</f>
        <v>2</v>
      </c>
      <c r="C1427" s="1">
        <f>YEAR(W_カレンダー[[#This Row],[日付]])</f>
        <v>2027</v>
      </c>
      <c r="D1427" s="1">
        <f>IF(W_カレンダー[[#This Row],[月]]&lt;=3,W_カレンダー[[#This Row],[暦年]]-1,W_カレンダー[[#This Row],[暦年]])</f>
        <v>2026</v>
      </c>
      <c r="E1427" s="1" t="str">
        <f>IF(W_カレンダー[[#This Row],[月]]&lt;=3,"Q4",IF(W_カレンダー[[#This Row],[月]]&lt;=6,"Q1",IF(W_カレンダー[[#This Row],[月]]&lt;=9,"Q2","Q3")))</f>
        <v>Q4</v>
      </c>
    </row>
    <row r="1428" spans="1:5" ht="18" customHeight="1" x14ac:dyDescent="0.25">
      <c r="A1428" s="27">
        <v>46443</v>
      </c>
      <c r="B1428" s="29">
        <f>MONTH(W_カレンダー[[#This Row],[日付]])</f>
        <v>2</v>
      </c>
      <c r="C1428" s="1">
        <f>YEAR(W_カレンダー[[#This Row],[日付]])</f>
        <v>2027</v>
      </c>
      <c r="D1428" s="1">
        <f>IF(W_カレンダー[[#This Row],[月]]&lt;=3,W_カレンダー[[#This Row],[暦年]]-1,W_カレンダー[[#This Row],[暦年]])</f>
        <v>2026</v>
      </c>
      <c r="E1428" s="1" t="str">
        <f>IF(W_カレンダー[[#This Row],[月]]&lt;=3,"Q4",IF(W_カレンダー[[#This Row],[月]]&lt;=6,"Q1",IF(W_カレンダー[[#This Row],[月]]&lt;=9,"Q2","Q3")))</f>
        <v>Q4</v>
      </c>
    </row>
    <row r="1429" spans="1:5" ht="18" customHeight="1" x14ac:dyDescent="0.25">
      <c r="A1429" s="27">
        <v>46444</v>
      </c>
      <c r="B1429" s="29">
        <f>MONTH(W_カレンダー[[#This Row],[日付]])</f>
        <v>2</v>
      </c>
      <c r="C1429" s="1">
        <f>YEAR(W_カレンダー[[#This Row],[日付]])</f>
        <v>2027</v>
      </c>
      <c r="D1429" s="1">
        <f>IF(W_カレンダー[[#This Row],[月]]&lt;=3,W_カレンダー[[#This Row],[暦年]]-1,W_カレンダー[[#This Row],[暦年]])</f>
        <v>2026</v>
      </c>
      <c r="E1429" s="1" t="str">
        <f>IF(W_カレンダー[[#This Row],[月]]&lt;=3,"Q4",IF(W_カレンダー[[#This Row],[月]]&lt;=6,"Q1",IF(W_カレンダー[[#This Row],[月]]&lt;=9,"Q2","Q3")))</f>
        <v>Q4</v>
      </c>
    </row>
    <row r="1430" spans="1:5" ht="18" customHeight="1" x14ac:dyDescent="0.25">
      <c r="A1430" s="27">
        <v>46445</v>
      </c>
      <c r="B1430" s="29">
        <f>MONTH(W_カレンダー[[#This Row],[日付]])</f>
        <v>2</v>
      </c>
      <c r="C1430" s="1">
        <f>YEAR(W_カレンダー[[#This Row],[日付]])</f>
        <v>2027</v>
      </c>
      <c r="D1430" s="1">
        <f>IF(W_カレンダー[[#This Row],[月]]&lt;=3,W_カレンダー[[#This Row],[暦年]]-1,W_カレンダー[[#This Row],[暦年]])</f>
        <v>2026</v>
      </c>
      <c r="E1430" s="1" t="str">
        <f>IF(W_カレンダー[[#This Row],[月]]&lt;=3,"Q4",IF(W_カレンダー[[#This Row],[月]]&lt;=6,"Q1",IF(W_カレンダー[[#This Row],[月]]&lt;=9,"Q2","Q3")))</f>
        <v>Q4</v>
      </c>
    </row>
    <row r="1431" spans="1:5" ht="18" customHeight="1" x14ac:dyDescent="0.25">
      <c r="A1431" s="27">
        <v>46446</v>
      </c>
      <c r="B1431" s="29">
        <f>MONTH(W_カレンダー[[#This Row],[日付]])</f>
        <v>2</v>
      </c>
      <c r="C1431" s="1">
        <f>YEAR(W_カレンダー[[#This Row],[日付]])</f>
        <v>2027</v>
      </c>
      <c r="D1431" s="1">
        <f>IF(W_カレンダー[[#This Row],[月]]&lt;=3,W_カレンダー[[#This Row],[暦年]]-1,W_カレンダー[[#This Row],[暦年]])</f>
        <v>2026</v>
      </c>
      <c r="E1431" s="1" t="str">
        <f>IF(W_カレンダー[[#This Row],[月]]&lt;=3,"Q4",IF(W_カレンダー[[#This Row],[月]]&lt;=6,"Q1",IF(W_カレンダー[[#This Row],[月]]&lt;=9,"Q2","Q3")))</f>
        <v>Q4</v>
      </c>
    </row>
    <row r="1432" spans="1:5" ht="18" customHeight="1" x14ac:dyDescent="0.25">
      <c r="A1432" s="27">
        <v>46447</v>
      </c>
      <c r="B1432" s="29">
        <f>MONTH(W_カレンダー[[#This Row],[日付]])</f>
        <v>3</v>
      </c>
      <c r="C1432" s="1">
        <f>YEAR(W_カレンダー[[#This Row],[日付]])</f>
        <v>2027</v>
      </c>
      <c r="D1432" s="1">
        <f>IF(W_カレンダー[[#This Row],[月]]&lt;=3,W_カレンダー[[#This Row],[暦年]]-1,W_カレンダー[[#This Row],[暦年]])</f>
        <v>2026</v>
      </c>
      <c r="E1432" s="1" t="str">
        <f>IF(W_カレンダー[[#This Row],[月]]&lt;=3,"Q4",IF(W_カレンダー[[#This Row],[月]]&lt;=6,"Q1",IF(W_カレンダー[[#This Row],[月]]&lt;=9,"Q2","Q3")))</f>
        <v>Q4</v>
      </c>
    </row>
    <row r="1433" spans="1:5" ht="18" customHeight="1" x14ac:dyDescent="0.25">
      <c r="A1433" s="27">
        <v>46448</v>
      </c>
      <c r="B1433" s="29">
        <f>MONTH(W_カレンダー[[#This Row],[日付]])</f>
        <v>3</v>
      </c>
      <c r="C1433" s="1">
        <f>YEAR(W_カレンダー[[#This Row],[日付]])</f>
        <v>2027</v>
      </c>
      <c r="D1433" s="1">
        <f>IF(W_カレンダー[[#This Row],[月]]&lt;=3,W_カレンダー[[#This Row],[暦年]]-1,W_カレンダー[[#This Row],[暦年]])</f>
        <v>2026</v>
      </c>
      <c r="E1433" s="1" t="str">
        <f>IF(W_カレンダー[[#This Row],[月]]&lt;=3,"Q4",IF(W_カレンダー[[#This Row],[月]]&lt;=6,"Q1",IF(W_カレンダー[[#This Row],[月]]&lt;=9,"Q2","Q3")))</f>
        <v>Q4</v>
      </c>
    </row>
    <row r="1434" spans="1:5" ht="18" customHeight="1" x14ac:dyDescent="0.25">
      <c r="A1434" s="27">
        <v>46449</v>
      </c>
      <c r="B1434" s="29">
        <f>MONTH(W_カレンダー[[#This Row],[日付]])</f>
        <v>3</v>
      </c>
      <c r="C1434" s="1">
        <f>YEAR(W_カレンダー[[#This Row],[日付]])</f>
        <v>2027</v>
      </c>
      <c r="D1434" s="1">
        <f>IF(W_カレンダー[[#This Row],[月]]&lt;=3,W_カレンダー[[#This Row],[暦年]]-1,W_カレンダー[[#This Row],[暦年]])</f>
        <v>2026</v>
      </c>
      <c r="E1434" s="1" t="str">
        <f>IF(W_カレンダー[[#This Row],[月]]&lt;=3,"Q4",IF(W_カレンダー[[#This Row],[月]]&lt;=6,"Q1",IF(W_カレンダー[[#This Row],[月]]&lt;=9,"Q2","Q3")))</f>
        <v>Q4</v>
      </c>
    </row>
    <row r="1435" spans="1:5" ht="18" customHeight="1" x14ac:dyDescent="0.25">
      <c r="A1435" s="27">
        <v>46450</v>
      </c>
      <c r="B1435" s="29">
        <f>MONTH(W_カレンダー[[#This Row],[日付]])</f>
        <v>3</v>
      </c>
      <c r="C1435" s="1">
        <f>YEAR(W_カレンダー[[#This Row],[日付]])</f>
        <v>2027</v>
      </c>
      <c r="D1435" s="1">
        <f>IF(W_カレンダー[[#This Row],[月]]&lt;=3,W_カレンダー[[#This Row],[暦年]]-1,W_カレンダー[[#This Row],[暦年]])</f>
        <v>2026</v>
      </c>
      <c r="E1435" s="1" t="str">
        <f>IF(W_カレンダー[[#This Row],[月]]&lt;=3,"Q4",IF(W_カレンダー[[#This Row],[月]]&lt;=6,"Q1",IF(W_カレンダー[[#This Row],[月]]&lt;=9,"Q2","Q3")))</f>
        <v>Q4</v>
      </c>
    </row>
    <row r="1436" spans="1:5" ht="18" customHeight="1" x14ac:dyDescent="0.25">
      <c r="A1436" s="27">
        <v>46451</v>
      </c>
      <c r="B1436" s="29">
        <f>MONTH(W_カレンダー[[#This Row],[日付]])</f>
        <v>3</v>
      </c>
      <c r="C1436" s="1">
        <f>YEAR(W_カレンダー[[#This Row],[日付]])</f>
        <v>2027</v>
      </c>
      <c r="D1436" s="1">
        <f>IF(W_カレンダー[[#This Row],[月]]&lt;=3,W_カレンダー[[#This Row],[暦年]]-1,W_カレンダー[[#This Row],[暦年]])</f>
        <v>2026</v>
      </c>
      <c r="E1436" s="1" t="str">
        <f>IF(W_カレンダー[[#This Row],[月]]&lt;=3,"Q4",IF(W_カレンダー[[#This Row],[月]]&lt;=6,"Q1",IF(W_カレンダー[[#This Row],[月]]&lt;=9,"Q2","Q3")))</f>
        <v>Q4</v>
      </c>
    </row>
    <row r="1437" spans="1:5" ht="18" customHeight="1" x14ac:dyDescent="0.25">
      <c r="A1437" s="27">
        <v>46452</v>
      </c>
      <c r="B1437" s="29">
        <f>MONTH(W_カレンダー[[#This Row],[日付]])</f>
        <v>3</v>
      </c>
      <c r="C1437" s="1">
        <f>YEAR(W_カレンダー[[#This Row],[日付]])</f>
        <v>2027</v>
      </c>
      <c r="D1437" s="1">
        <f>IF(W_カレンダー[[#This Row],[月]]&lt;=3,W_カレンダー[[#This Row],[暦年]]-1,W_カレンダー[[#This Row],[暦年]])</f>
        <v>2026</v>
      </c>
      <c r="E1437" s="1" t="str">
        <f>IF(W_カレンダー[[#This Row],[月]]&lt;=3,"Q4",IF(W_カレンダー[[#This Row],[月]]&lt;=6,"Q1",IF(W_カレンダー[[#This Row],[月]]&lt;=9,"Q2","Q3")))</f>
        <v>Q4</v>
      </c>
    </row>
    <row r="1438" spans="1:5" ht="18" customHeight="1" x14ac:dyDescent="0.25">
      <c r="A1438" s="27">
        <v>46453</v>
      </c>
      <c r="B1438" s="29">
        <f>MONTH(W_カレンダー[[#This Row],[日付]])</f>
        <v>3</v>
      </c>
      <c r="C1438" s="1">
        <f>YEAR(W_カレンダー[[#This Row],[日付]])</f>
        <v>2027</v>
      </c>
      <c r="D1438" s="1">
        <f>IF(W_カレンダー[[#This Row],[月]]&lt;=3,W_カレンダー[[#This Row],[暦年]]-1,W_カレンダー[[#This Row],[暦年]])</f>
        <v>2026</v>
      </c>
      <c r="E1438" s="1" t="str">
        <f>IF(W_カレンダー[[#This Row],[月]]&lt;=3,"Q4",IF(W_カレンダー[[#This Row],[月]]&lt;=6,"Q1",IF(W_カレンダー[[#This Row],[月]]&lt;=9,"Q2","Q3")))</f>
        <v>Q4</v>
      </c>
    </row>
    <row r="1439" spans="1:5" ht="18" customHeight="1" x14ac:dyDescent="0.25">
      <c r="A1439" s="27">
        <v>46454</v>
      </c>
      <c r="B1439" s="29">
        <f>MONTH(W_カレンダー[[#This Row],[日付]])</f>
        <v>3</v>
      </c>
      <c r="C1439" s="1">
        <f>YEAR(W_カレンダー[[#This Row],[日付]])</f>
        <v>2027</v>
      </c>
      <c r="D1439" s="1">
        <f>IF(W_カレンダー[[#This Row],[月]]&lt;=3,W_カレンダー[[#This Row],[暦年]]-1,W_カレンダー[[#This Row],[暦年]])</f>
        <v>2026</v>
      </c>
      <c r="E1439" s="1" t="str">
        <f>IF(W_カレンダー[[#This Row],[月]]&lt;=3,"Q4",IF(W_カレンダー[[#This Row],[月]]&lt;=6,"Q1",IF(W_カレンダー[[#This Row],[月]]&lt;=9,"Q2","Q3")))</f>
        <v>Q4</v>
      </c>
    </row>
    <row r="1440" spans="1:5" ht="18" customHeight="1" x14ac:dyDescent="0.25">
      <c r="A1440" s="27">
        <v>46455</v>
      </c>
      <c r="B1440" s="29">
        <f>MONTH(W_カレンダー[[#This Row],[日付]])</f>
        <v>3</v>
      </c>
      <c r="C1440" s="1">
        <f>YEAR(W_カレンダー[[#This Row],[日付]])</f>
        <v>2027</v>
      </c>
      <c r="D1440" s="1">
        <f>IF(W_カレンダー[[#This Row],[月]]&lt;=3,W_カレンダー[[#This Row],[暦年]]-1,W_カレンダー[[#This Row],[暦年]])</f>
        <v>2026</v>
      </c>
      <c r="E1440" s="1" t="str">
        <f>IF(W_カレンダー[[#This Row],[月]]&lt;=3,"Q4",IF(W_カレンダー[[#This Row],[月]]&lt;=6,"Q1",IF(W_カレンダー[[#This Row],[月]]&lt;=9,"Q2","Q3")))</f>
        <v>Q4</v>
      </c>
    </row>
    <row r="1441" spans="1:5" ht="18" customHeight="1" x14ac:dyDescent="0.25">
      <c r="A1441" s="27">
        <v>46456</v>
      </c>
      <c r="B1441" s="29">
        <f>MONTH(W_カレンダー[[#This Row],[日付]])</f>
        <v>3</v>
      </c>
      <c r="C1441" s="1">
        <f>YEAR(W_カレンダー[[#This Row],[日付]])</f>
        <v>2027</v>
      </c>
      <c r="D1441" s="1">
        <f>IF(W_カレンダー[[#This Row],[月]]&lt;=3,W_カレンダー[[#This Row],[暦年]]-1,W_カレンダー[[#This Row],[暦年]])</f>
        <v>2026</v>
      </c>
      <c r="E1441" s="1" t="str">
        <f>IF(W_カレンダー[[#This Row],[月]]&lt;=3,"Q4",IF(W_カレンダー[[#This Row],[月]]&lt;=6,"Q1",IF(W_カレンダー[[#This Row],[月]]&lt;=9,"Q2","Q3")))</f>
        <v>Q4</v>
      </c>
    </row>
    <row r="1442" spans="1:5" ht="18" customHeight="1" x14ac:dyDescent="0.25">
      <c r="A1442" s="27">
        <v>46457</v>
      </c>
      <c r="B1442" s="29">
        <f>MONTH(W_カレンダー[[#This Row],[日付]])</f>
        <v>3</v>
      </c>
      <c r="C1442" s="1">
        <f>YEAR(W_カレンダー[[#This Row],[日付]])</f>
        <v>2027</v>
      </c>
      <c r="D1442" s="1">
        <f>IF(W_カレンダー[[#This Row],[月]]&lt;=3,W_カレンダー[[#This Row],[暦年]]-1,W_カレンダー[[#This Row],[暦年]])</f>
        <v>2026</v>
      </c>
      <c r="E1442" s="1" t="str">
        <f>IF(W_カレンダー[[#This Row],[月]]&lt;=3,"Q4",IF(W_カレンダー[[#This Row],[月]]&lt;=6,"Q1",IF(W_カレンダー[[#This Row],[月]]&lt;=9,"Q2","Q3")))</f>
        <v>Q4</v>
      </c>
    </row>
    <row r="1443" spans="1:5" ht="18" customHeight="1" x14ac:dyDescent="0.25">
      <c r="A1443" s="27">
        <v>46458</v>
      </c>
      <c r="B1443" s="29">
        <f>MONTH(W_カレンダー[[#This Row],[日付]])</f>
        <v>3</v>
      </c>
      <c r="C1443" s="1">
        <f>YEAR(W_カレンダー[[#This Row],[日付]])</f>
        <v>2027</v>
      </c>
      <c r="D1443" s="1">
        <f>IF(W_カレンダー[[#This Row],[月]]&lt;=3,W_カレンダー[[#This Row],[暦年]]-1,W_カレンダー[[#This Row],[暦年]])</f>
        <v>2026</v>
      </c>
      <c r="E1443" s="1" t="str">
        <f>IF(W_カレンダー[[#This Row],[月]]&lt;=3,"Q4",IF(W_カレンダー[[#This Row],[月]]&lt;=6,"Q1",IF(W_カレンダー[[#This Row],[月]]&lt;=9,"Q2","Q3")))</f>
        <v>Q4</v>
      </c>
    </row>
    <row r="1444" spans="1:5" ht="18" customHeight="1" x14ac:dyDescent="0.25">
      <c r="A1444" s="27">
        <v>46459</v>
      </c>
      <c r="B1444" s="29">
        <f>MONTH(W_カレンダー[[#This Row],[日付]])</f>
        <v>3</v>
      </c>
      <c r="C1444" s="1">
        <f>YEAR(W_カレンダー[[#This Row],[日付]])</f>
        <v>2027</v>
      </c>
      <c r="D1444" s="1">
        <f>IF(W_カレンダー[[#This Row],[月]]&lt;=3,W_カレンダー[[#This Row],[暦年]]-1,W_カレンダー[[#This Row],[暦年]])</f>
        <v>2026</v>
      </c>
      <c r="E1444" s="1" t="str">
        <f>IF(W_カレンダー[[#This Row],[月]]&lt;=3,"Q4",IF(W_カレンダー[[#This Row],[月]]&lt;=6,"Q1",IF(W_カレンダー[[#This Row],[月]]&lt;=9,"Q2","Q3")))</f>
        <v>Q4</v>
      </c>
    </row>
    <row r="1445" spans="1:5" ht="18" customHeight="1" x14ac:dyDescent="0.25">
      <c r="A1445" s="27">
        <v>46460</v>
      </c>
      <c r="B1445" s="29">
        <f>MONTH(W_カレンダー[[#This Row],[日付]])</f>
        <v>3</v>
      </c>
      <c r="C1445" s="1">
        <f>YEAR(W_カレンダー[[#This Row],[日付]])</f>
        <v>2027</v>
      </c>
      <c r="D1445" s="1">
        <f>IF(W_カレンダー[[#This Row],[月]]&lt;=3,W_カレンダー[[#This Row],[暦年]]-1,W_カレンダー[[#This Row],[暦年]])</f>
        <v>2026</v>
      </c>
      <c r="E1445" s="1" t="str">
        <f>IF(W_カレンダー[[#This Row],[月]]&lt;=3,"Q4",IF(W_カレンダー[[#This Row],[月]]&lt;=6,"Q1",IF(W_カレンダー[[#This Row],[月]]&lt;=9,"Q2","Q3")))</f>
        <v>Q4</v>
      </c>
    </row>
    <row r="1446" spans="1:5" ht="18" customHeight="1" x14ac:dyDescent="0.25">
      <c r="A1446" s="27">
        <v>46461</v>
      </c>
      <c r="B1446" s="29">
        <f>MONTH(W_カレンダー[[#This Row],[日付]])</f>
        <v>3</v>
      </c>
      <c r="C1446" s="1">
        <f>YEAR(W_カレンダー[[#This Row],[日付]])</f>
        <v>2027</v>
      </c>
      <c r="D1446" s="1">
        <f>IF(W_カレンダー[[#This Row],[月]]&lt;=3,W_カレンダー[[#This Row],[暦年]]-1,W_カレンダー[[#This Row],[暦年]])</f>
        <v>2026</v>
      </c>
      <c r="E1446" s="1" t="str">
        <f>IF(W_カレンダー[[#This Row],[月]]&lt;=3,"Q4",IF(W_カレンダー[[#This Row],[月]]&lt;=6,"Q1",IF(W_カレンダー[[#This Row],[月]]&lt;=9,"Q2","Q3")))</f>
        <v>Q4</v>
      </c>
    </row>
    <row r="1447" spans="1:5" ht="18" customHeight="1" x14ac:dyDescent="0.25">
      <c r="A1447" s="27">
        <v>46462</v>
      </c>
      <c r="B1447" s="29">
        <f>MONTH(W_カレンダー[[#This Row],[日付]])</f>
        <v>3</v>
      </c>
      <c r="C1447" s="1">
        <f>YEAR(W_カレンダー[[#This Row],[日付]])</f>
        <v>2027</v>
      </c>
      <c r="D1447" s="1">
        <f>IF(W_カレンダー[[#This Row],[月]]&lt;=3,W_カレンダー[[#This Row],[暦年]]-1,W_カレンダー[[#This Row],[暦年]])</f>
        <v>2026</v>
      </c>
      <c r="E1447" s="1" t="str">
        <f>IF(W_カレンダー[[#This Row],[月]]&lt;=3,"Q4",IF(W_カレンダー[[#This Row],[月]]&lt;=6,"Q1",IF(W_カレンダー[[#This Row],[月]]&lt;=9,"Q2","Q3")))</f>
        <v>Q4</v>
      </c>
    </row>
    <row r="1448" spans="1:5" ht="18" customHeight="1" x14ac:dyDescent="0.25">
      <c r="A1448" s="27">
        <v>46463</v>
      </c>
      <c r="B1448" s="29">
        <f>MONTH(W_カレンダー[[#This Row],[日付]])</f>
        <v>3</v>
      </c>
      <c r="C1448" s="1">
        <f>YEAR(W_カレンダー[[#This Row],[日付]])</f>
        <v>2027</v>
      </c>
      <c r="D1448" s="1">
        <f>IF(W_カレンダー[[#This Row],[月]]&lt;=3,W_カレンダー[[#This Row],[暦年]]-1,W_カレンダー[[#This Row],[暦年]])</f>
        <v>2026</v>
      </c>
      <c r="E1448" s="1" t="str">
        <f>IF(W_カレンダー[[#This Row],[月]]&lt;=3,"Q4",IF(W_カレンダー[[#This Row],[月]]&lt;=6,"Q1",IF(W_カレンダー[[#This Row],[月]]&lt;=9,"Q2","Q3")))</f>
        <v>Q4</v>
      </c>
    </row>
    <row r="1449" spans="1:5" ht="18" customHeight="1" x14ac:dyDescent="0.25">
      <c r="A1449" s="27">
        <v>46464</v>
      </c>
      <c r="B1449" s="29">
        <f>MONTH(W_カレンダー[[#This Row],[日付]])</f>
        <v>3</v>
      </c>
      <c r="C1449" s="1">
        <f>YEAR(W_カレンダー[[#This Row],[日付]])</f>
        <v>2027</v>
      </c>
      <c r="D1449" s="1">
        <f>IF(W_カレンダー[[#This Row],[月]]&lt;=3,W_カレンダー[[#This Row],[暦年]]-1,W_カレンダー[[#This Row],[暦年]])</f>
        <v>2026</v>
      </c>
      <c r="E1449" s="1" t="str">
        <f>IF(W_カレンダー[[#This Row],[月]]&lt;=3,"Q4",IF(W_カレンダー[[#This Row],[月]]&lt;=6,"Q1",IF(W_カレンダー[[#This Row],[月]]&lt;=9,"Q2","Q3")))</f>
        <v>Q4</v>
      </c>
    </row>
    <row r="1450" spans="1:5" ht="18" customHeight="1" x14ac:dyDescent="0.25">
      <c r="A1450" s="27">
        <v>46465</v>
      </c>
      <c r="B1450" s="29">
        <f>MONTH(W_カレンダー[[#This Row],[日付]])</f>
        <v>3</v>
      </c>
      <c r="C1450" s="1">
        <f>YEAR(W_カレンダー[[#This Row],[日付]])</f>
        <v>2027</v>
      </c>
      <c r="D1450" s="1">
        <f>IF(W_カレンダー[[#This Row],[月]]&lt;=3,W_カレンダー[[#This Row],[暦年]]-1,W_カレンダー[[#This Row],[暦年]])</f>
        <v>2026</v>
      </c>
      <c r="E1450" s="1" t="str">
        <f>IF(W_カレンダー[[#This Row],[月]]&lt;=3,"Q4",IF(W_カレンダー[[#This Row],[月]]&lt;=6,"Q1",IF(W_カレンダー[[#This Row],[月]]&lt;=9,"Q2","Q3")))</f>
        <v>Q4</v>
      </c>
    </row>
    <row r="1451" spans="1:5" ht="18" customHeight="1" x14ac:dyDescent="0.25">
      <c r="A1451" s="27">
        <v>46466</v>
      </c>
      <c r="B1451" s="29">
        <f>MONTH(W_カレンダー[[#This Row],[日付]])</f>
        <v>3</v>
      </c>
      <c r="C1451" s="1">
        <f>YEAR(W_カレンダー[[#This Row],[日付]])</f>
        <v>2027</v>
      </c>
      <c r="D1451" s="1">
        <f>IF(W_カレンダー[[#This Row],[月]]&lt;=3,W_カレンダー[[#This Row],[暦年]]-1,W_カレンダー[[#This Row],[暦年]])</f>
        <v>2026</v>
      </c>
      <c r="E1451" s="1" t="str">
        <f>IF(W_カレンダー[[#This Row],[月]]&lt;=3,"Q4",IF(W_カレンダー[[#This Row],[月]]&lt;=6,"Q1",IF(W_カレンダー[[#This Row],[月]]&lt;=9,"Q2","Q3")))</f>
        <v>Q4</v>
      </c>
    </row>
    <row r="1452" spans="1:5" ht="18" customHeight="1" x14ac:dyDescent="0.25">
      <c r="A1452" s="27">
        <v>46467</v>
      </c>
      <c r="B1452" s="29">
        <f>MONTH(W_カレンダー[[#This Row],[日付]])</f>
        <v>3</v>
      </c>
      <c r="C1452" s="1">
        <f>YEAR(W_カレンダー[[#This Row],[日付]])</f>
        <v>2027</v>
      </c>
      <c r="D1452" s="1">
        <f>IF(W_カレンダー[[#This Row],[月]]&lt;=3,W_カレンダー[[#This Row],[暦年]]-1,W_カレンダー[[#This Row],[暦年]])</f>
        <v>2026</v>
      </c>
      <c r="E1452" s="1" t="str">
        <f>IF(W_カレンダー[[#This Row],[月]]&lt;=3,"Q4",IF(W_カレンダー[[#This Row],[月]]&lt;=6,"Q1",IF(W_カレンダー[[#This Row],[月]]&lt;=9,"Q2","Q3")))</f>
        <v>Q4</v>
      </c>
    </row>
    <row r="1453" spans="1:5" ht="18" customHeight="1" x14ac:dyDescent="0.25">
      <c r="A1453" s="27">
        <v>46468</v>
      </c>
      <c r="B1453" s="29">
        <f>MONTH(W_カレンダー[[#This Row],[日付]])</f>
        <v>3</v>
      </c>
      <c r="C1453" s="1">
        <f>YEAR(W_カレンダー[[#This Row],[日付]])</f>
        <v>2027</v>
      </c>
      <c r="D1453" s="1">
        <f>IF(W_カレンダー[[#This Row],[月]]&lt;=3,W_カレンダー[[#This Row],[暦年]]-1,W_カレンダー[[#This Row],[暦年]])</f>
        <v>2026</v>
      </c>
      <c r="E1453" s="1" t="str">
        <f>IF(W_カレンダー[[#This Row],[月]]&lt;=3,"Q4",IF(W_カレンダー[[#This Row],[月]]&lt;=6,"Q1",IF(W_カレンダー[[#This Row],[月]]&lt;=9,"Q2","Q3")))</f>
        <v>Q4</v>
      </c>
    </row>
    <row r="1454" spans="1:5" ht="18" customHeight="1" x14ac:dyDescent="0.25">
      <c r="A1454" s="27">
        <v>46469</v>
      </c>
      <c r="B1454" s="29">
        <f>MONTH(W_カレンダー[[#This Row],[日付]])</f>
        <v>3</v>
      </c>
      <c r="C1454" s="1">
        <f>YEAR(W_カレンダー[[#This Row],[日付]])</f>
        <v>2027</v>
      </c>
      <c r="D1454" s="1">
        <f>IF(W_カレンダー[[#This Row],[月]]&lt;=3,W_カレンダー[[#This Row],[暦年]]-1,W_カレンダー[[#This Row],[暦年]])</f>
        <v>2026</v>
      </c>
      <c r="E1454" s="1" t="str">
        <f>IF(W_カレンダー[[#This Row],[月]]&lt;=3,"Q4",IF(W_カレンダー[[#This Row],[月]]&lt;=6,"Q1",IF(W_カレンダー[[#This Row],[月]]&lt;=9,"Q2","Q3")))</f>
        <v>Q4</v>
      </c>
    </row>
    <row r="1455" spans="1:5" ht="18" customHeight="1" x14ac:dyDescent="0.25">
      <c r="A1455" s="27">
        <v>46470</v>
      </c>
      <c r="B1455" s="29">
        <f>MONTH(W_カレンダー[[#This Row],[日付]])</f>
        <v>3</v>
      </c>
      <c r="C1455" s="1">
        <f>YEAR(W_カレンダー[[#This Row],[日付]])</f>
        <v>2027</v>
      </c>
      <c r="D1455" s="1">
        <f>IF(W_カレンダー[[#This Row],[月]]&lt;=3,W_カレンダー[[#This Row],[暦年]]-1,W_カレンダー[[#This Row],[暦年]])</f>
        <v>2026</v>
      </c>
      <c r="E1455" s="1" t="str">
        <f>IF(W_カレンダー[[#This Row],[月]]&lt;=3,"Q4",IF(W_カレンダー[[#This Row],[月]]&lt;=6,"Q1",IF(W_カレンダー[[#This Row],[月]]&lt;=9,"Q2","Q3")))</f>
        <v>Q4</v>
      </c>
    </row>
    <row r="1456" spans="1:5" ht="18" customHeight="1" x14ac:dyDescent="0.25">
      <c r="A1456" s="27">
        <v>46471</v>
      </c>
      <c r="B1456" s="29">
        <f>MONTH(W_カレンダー[[#This Row],[日付]])</f>
        <v>3</v>
      </c>
      <c r="C1456" s="1">
        <f>YEAR(W_カレンダー[[#This Row],[日付]])</f>
        <v>2027</v>
      </c>
      <c r="D1456" s="1">
        <f>IF(W_カレンダー[[#This Row],[月]]&lt;=3,W_カレンダー[[#This Row],[暦年]]-1,W_カレンダー[[#This Row],[暦年]])</f>
        <v>2026</v>
      </c>
      <c r="E1456" s="1" t="str">
        <f>IF(W_カレンダー[[#This Row],[月]]&lt;=3,"Q4",IF(W_カレンダー[[#This Row],[月]]&lt;=6,"Q1",IF(W_カレンダー[[#This Row],[月]]&lt;=9,"Q2","Q3")))</f>
        <v>Q4</v>
      </c>
    </row>
    <row r="1457" spans="1:5" ht="18" customHeight="1" x14ac:dyDescent="0.25">
      <c r="A1457" s="27">
        <v>46472</v>
      </c>
      <c r="B1457" s="29">
        <f>MONTH(W_カレンダー[[#This Row],[日付]])</f>
        <v>3</v>
      </c>
      <c r="C1457" s="1">
        <f>YEAR(W_カレンダー[[#This Row],[日付]])</f>
        <v>2027</v>
      </c>
      <c r="D1457" s="1">
        <f>IF(W_カレンダー[[#This Row],[月]]&lt;=3,W_カレンダー[[#This Row],[暦年]]-1,W_カレンダー[[#This Row],[暦年]])</f>
        <v>2026</v>
      </c>
      <c r="E1457" s="1" t="str">
        <f>IF(W_カレンダー[[#This Row],[月]]&lt;=3,"Q4",IF(W_カレンダー[[#This Row],[月]]&lt;=6,"Q1",IF(W_カレンダー[[#This Row],[月]]&lt;=9,"Q2","Q3")))</f>
        <v>Q4</v>
      </c>
    </row>
    <row r="1458" spans="1:5" ht="18" customHeight="1" x14ac:dyDescent="0.25">
      <c r="A1458" s="27">
        <v>46473</v>
      </c>
      <c r="B1458" s="29">
        <f>MONTH(W_カレンダー[[#This Row],[日付]])</f>
        <v>3</v>
      </c>
      <c r="C1458" s="1">
        <f>YEAR(W_カレンダー[[#This Row],[日付]])</f>
        <v>2027</v>
      </c>
      <c r="D1458" s="1">
        <f>IF(W_カレンダー[[#This Row],[月]]&lt;=3,W_カレンダー[[#This Row],[暦年]]-1,W_カレンダー[[#This Row],[暦年]])</f>
        <v>2026</v>
      </c>
      <c r="E1458" s="1" t="str">
        <f>IF(W_カレンダー[[#This Row],[月]]&lt;=3,"Q4",IF(W_カレンダー[[#This Row],[月]]&lt;=6,"Q1",IF(W_カレンダー[[#This Row],[月]]&lt;=9,"Q2","Q3")))</f>
        <v>Q4</v>
      </c>
    </row>
    <row r="1459" spans="1:5" ht="18" customHeight="1" x14ac:dyDescent="0.25">
      <c r="A1459" s="27">
        <v>46474</v>
      </c>
      <c r="B1459" s="29">
        <f>MONTH(W_カレンダー[[#This Row],[日付]])</f>
        <v>3</v>
      </c>
      <c r="C1459" s="1">
        <f>YEAR(W_カレンダー[[#This Row],[日付]])</f>
        <v>2027</v>
      </c>
      <c r="D1459" s="1">
        <f>IF(W_カレンダー[[#This Row],[月]]&lt;=3,W_カレンダー[[#This Row],[暦年]]-1,W_カレンダー[[#This Row],[暦年]])</f>
        <v>2026</v>
      </c>
      <c r="E1459" s="1" t="str">
        <f>IF(W_カレンダー[[#This Row],[月]]&lt;=3,"Q4",IF(W_カレンダー[[#This Row],[月]]&lt;=6,"Q1",IF(W_カレンダー[[#This Row],[月]]&lt;=9,"Q2","Q3")))</f>
        <v>Q4</v>
      </c>
    </row>
    <row r="1460" spans="1:5" ht="18" customHeight="1" x14ac:dyDescent="0.25">
      <c r="A1460" s="27">
        <v>46475</v>
      </c>
      <c r="B1460" s="29">
        <f>MONTH(W_カレンダー[[#This Row],[日付]])</f>
        <v>3</v>
      </c>
      <c r="C1460" s="1">
        <f>YEAR(W_カレンダー[[#This Row],[日付]])</f>
        <v>2027</v>
      </c>
      <c r="D1460" s="1">
        <f>IF(W_カレンダー[[#This Row],[月]]&lt;=3,W_カレンダー[[#This Row],[暦年]]-1,W_カレンダー[[#This Row],[暦年]])</f>
        <v>2026</v>
      </c>
      <c r="E1460" s="1" t="str">
        <f>IF(W_カレンダー[[#This Row],[月]]&lt;=3,"Q4",IF(W_カレンダー[[#This Row],[月]]&lt;=6,"Q1",IF(W_カレンダー[[#This Row],[月]]&lt;=9,"Q2","Q3")))</f>
        <v>Q4</v>
      </c>
    </row>
    <row r="1461" spans="1:5" ht="18" customHeight="1" x14ac:dyDescent="0.25">
      <c r="A1461" s="27">
        <v>46476</v>
      </c>
      <c r="B1461" s="29">
        <f>MONTH(W_カレンダー[[#This Row],[日付]])</f>
        <v>3</v>
      </c>
      <c r="C1461" s="1">
        <f>YEAR(W_カレンダー[[#This Row],[日付]])</f>
        <v>2027</v>
      </c>
      <c r="D1461" s="1">
        <f>IF(W_カレンダー[[#This Row],[月]]&lt;=3,W_カレンダー[[#This Row],[暦年]]-1,W_カレンダー[[#This Row],[暦年]])</f>
        <v>2026</v>
      </c>
      <c r="E1461" s="1" t="str">
        <f>IF(W_カレンダー[[#This Row],[月]]&lt;=3,"Q4",IF(W_カレンダー[[#This Row],[月]]&lt;=6,"Q1",IF(W_カレンダー[[#This Row],[月]]&lt;=9,"Q2","Q3")))</f>
        <v>Q4</v>
      </c>
    </row>
    <row r="1462" spans="1:5" ht="18" customHeight="1" x14ac:dyDescent="0.25">
      <c r="A1462" s="27">
        <v>46477</v>
      </c>
      <c r="B1462" s="29">
        <f>MONTH(W_カレンダー[[#This Row],[日付]])</f>
        <v>3</v>
      </c>
      <c r="C1462" s="1">
        <f>YEAR(W_カレンダー[[#This Row],[日付]])</f>
        <v>2027</v>
      </c>
      <c r="D1462" s="1">
        <f>IF(W_カレンダー[[#This Row],[月]]&lt;=3,W_カレンダー[[#This Row],[暦年]]-1,W_カレンダー[[#This Row],[暦年]])</f>
        <v>2026</v>
      </c>
      <c r="E1462" s="1" t="str">
        <f>IF(W_カレンダー[[#This Row],[月]]&lt;=3,"Q4",IF(W_カレンダー[[#This Row],[月]]&lt;=6,"Q1",IF(W_カレンダー[[#This Row],[月]]&lt;=9,"Q2","Q3")))</f>
        <v>Q4</v>
      </c>
    </row>
    <row r="1463" spans="1:5" ht="18" customHeight="1" x14ac:dyDescent="0.25">
      <c r="A1463" s="27">
        <v>46478</v>
      </c>
      <c r="B1463" s="29">
        <f>MONTH(W_カレンダー[[#This Row],[日付]])</f>
        <v>4</v>
      </c>
      <c r="C1463" s="1">
        <f>YEAR(W_カレンダー[[#This Row],[日付]])</f>
        <v>2027</v>
      </c>
      <c r="D1463" s="1">
        <f>IF(W_カレンダー[[#This Row],[月]]&lt;=3,W_カレンダー[[#This Row],[暦年]]-1,W_カレンダー[[#This Row],[暦年]])</f>
        <v>2027</v>
      </c>
      <c r="E1463" s="1" t="str">
        <f>IF(W_カレンダー[[#This Row],[月]]&lt;=3,"Q4",IF(W_カレンダー[[#This Row],[月]]&lt;=6,"Q1",IF(W_カレンダー[[#This Row],[月]]&lt;=9,"Q2","Q3")))</f>
        <v>Q1</v>
      </c>
    </row>
    <row r="1464" spans="1:5" ht="18" customHeight="1" x14ac:dyDescent="0.25">
      <c r="A1464" s="27">
        <v>46479</v>
      </c>
      <c r="B1464" s="29">
        <f>MONTH(W_カレンダー[[#This Row],[日付]])</f>
        <v>4</v>
      </c>
      <c r="C1464" s="1">
        <f>YEAR(W_カレンダー[[#This Row],[日付]])</f>
        <v>2027</v>
      </c>
      <c r="D1464" s="1">
        <f>IF(W_カレンダー[[#This Row],[月]]&lt;=3,W_カレンダー[[#This Row],[暦年]]-1,W_カレンダー[[#This Row],[暦年]])</f>
        <v>2027</v>
      </c>
      <c r="E1464" s="1" t="str">
        <f>IF(W_カレンダー[[#This Row],[月]]&lt;=3,"Q4",IF(W_カレンダー[[#This Row],[月]]&lt;=6,"Q1",IF(W_カレンダー[[#This Row],[月]]&lt;=9,"Q2","Q3")))</f>
        <v>Q1</v>
      </c>
    </row>
    <row r="1465" spans="1:5" ht="18" customHeight="1" x14ac:dyDescent="0.25">
      <c r="A1465" s="27">
        <v>46480</v>
      </c>
      <c r="B1465" s="29">
        <f>MONTH(W_カレンダー[[#This Row],[日付]])</f>
        <v>4</v>
      </c>
      <c r="C1465" s="1">
        <f>YEAR(W_カレンダー[[#This Row],[日付]])</f>
        <v>2027</v>
      </c>
      <c r="D1465" s="1">
        <f>IF(W_カレンダー[[#This Row],[月]]&lt;=3,W_カレンダー[[#This Row],[暦年]]-1,W_カレンダー[[#This Row],[暦年]])</f>
        <v>2027</v>
      </c>
      <c r="E1465" s="1" t="str">
        <f>IF(W_カレンダー[[#This Row],[月]]&lt;=3,"Q4",IF(W_カレンダー[[#This Row],[月]]&lt;=6,"Q1",IF(W_カレンダー[[#This Row],[月]]&lt;=9,"Q2","Q3")))</f>
        <v>Q1</v>
      </c>
    </row>
    <row r="1466" spans="1:5" ht="18" customHeight="1" x14ac:dyDescent="0.25">
      <c r="A1466" s="27">
        <v>46481</v>
      </c>
      <c r="B1466" s="29">
        <f>MONTH(W_カレンダー[[#This Row],[日付]])</f>
        <v>4</v>
      </c>
      <c r="C1466" s="1">
        <f>YEAR(W_カレンダー[[#This Row],[日付]])</f>
        <v>2027</v>
      </c>
      <c r="D1466" s="1">
        <f>IF(W_カレンダー[[#This Row],[月]]&lt;=3,W_カレンダー[[#This Row],[暦年]]-1,W_カレンダー[[#This Row],[暦年]])</f>
        <v>2027</v>
      </c>
      <c r="E1466" s="1" t="str">
        <f>IF(W_カレンダー[[#This Row],[月]]&lt;=3,"Q4",IF(W_カレンダー[[#This Row],[月]]&lt;=6,"Q1",IF(W_カレンダー[[#This Row],[月]]&lt;=9,"Q2","Q3")))</f>
        <v>Q1</v>
      </c>
    </row>
    <row r="1467" spans="1:5" ht="18" customHeight="1" x14ac:dyDescent="0.25">
      <c r="A1467" s="27">
        <v>46482</v>
      </c>
      <c r="B1467" s="29">
        <f>MONTH(W_カレンダー[[#This Row],[日付]])</f>
        <v>4</v>
      </c>
      <c r="C1467" s="1">
        <f>YEAR(W_カレンダー[[#This Row],[日付]])</f>
        <v>2027</v>
      </c>
      <c r="D1467" s="1">
        <f>IF(W_カレンダー[[#This Row],[月]]&lt;=3,W_カレンダー[[#This Row],[暦年]]-1,W_カレンダー[[#This Row],[暦年]])</f>
        <v>2027</v>
      </c>
      <c r="E1467" s="1" t="str">
        <f>IF(W_カレンダー[[#This Row],[月]]&lt;=3,"Q4",IF(W_カレンダー[[#This Row],[月]]&lt;=6,"Q1",IF(W_カレンダー[[#This Row],[月]]&lt;=9,"Q2","Q3")))</f>
        <v>Q1</v>
      </c>
    </row>
    <row r="1468" spans="1:5" ht="18" customHeight="1" x14ac:dyDescent="0.25">
      <c r="A1468" s="27">
        <v>46483</v>
      </c>
      <c r="B1468" s="29">
        <f>MONTH(W_カレンダー[[#This Row],[日付]])</f>
        <v>4</v>
      </c>
      <c r="C1468" s="1">
        <f>YEAR(W_カレンダー[[#This Row],[日付]])</f>
        <v>2027</v>
      </c>
      <c r="D1468" s="1">
        <f>IF(W_カレンダー[[#This Row],[月]]&lt;=3,W_カレンダー[[#This Row],[暦年]]-1,W_カレンダー[[#This Row],[暦年]])</f>
        <v>2027</v>
      </c>
      <c r="E1468" s="1" t="str">
        <f>IF(W_カレンダー[[#This Row],[月]]&lt;=3,"Q4",IF(W_カレンダー[[#This Row],[月]]&lt;=6,"Q1",IF(W_カレンダー[[#This Row],[月]]&lt;=9,"Q2","Q3")))</f>
        <v>Q1</v>
      </c>
    </row>
    <row r="1469" spans="1:5" ht="18" customHeight="1" x14ac:dyDescent="0.25">
      <c r="A1469" s="27">
        <v>46484</v>
      </c>
      <c r="B1469" s="29">
        <f>MONTH(W_カレンダー[[#This Row],[日付]])</f>
        <v>4</v>
      </c>
      <c r="C1469" s="1">
        <f>YEAR(W_カレンダー[[#This Row],[日付]])</f>
        <v>2027</v>
      </c>
      <c r="D1469" s="1">
        <f>IF(W_カレンダー[[#This Row],[月]]&lt;=3,W_カレンダー[[#This Row],[暦年]]-1,W_カレンダー[[#This Row],[暦年]])</f>
        <v>2027</v>
      </c>
      <c r="E1469" s="1" t="str">
        <f>IF(W_カレンダー[[#This Row],[月]]&lt;=3,"Q4",IF(W_カレンダー[[#This Row],[月]]&lt;=6,"Q1",IF(W_カレンダー[[#This Row],[月]]&lt;=9,"Q2","Q3")))</f>
        <v>Q1</v>
      </c>
    </row>
    <row r="1470" spans="1:5" ht="18" customHeight="1" x14ac:dyDescent="0.25">
      <c r="A1470" s="27">
        <v>46485</v>
      </c>
      <c r="B1470" s="29">
        <f>MONTH(W_カレンダー[[#This Row],[日付]])</f>
        <v>4</v>
      </c>
      <c r="C1470" s="1">
        <f>YEAR(W_カレンダー[[#This Row],[日付]])</f>
        <v>2027</v>
      </c>
      <c r="D1470" s="1">
        <f>IF(W_カレンダー[[#This Row],[月]]&lt;=3,W_カレンダー[[#This Row],[暦年]]-1,W_カレンダー[[#This Row],[暦年]])</f>
        <v>2027</v>
      </c>
      <c r="E1470" s="1" t="str">
        <f>IF(W_カレンダー[[#This Row],[月]]&lt;=3,"Q4",IF(W_カレンダー[[#This Row],[月]]&lt;=6,"Q1",IF(W_カレンダー[[#This Row],[月]]&lt;=9,"Q2","Q3")))</f>
        <v>Q1</v>
      </c>
    </row>
    <row r="1471" spans="1:5" ht="18" customHeight="1" x14ac:dyDescent="0.25">
      <c r="A1471" s="27">
        <v>46486</v>
      </c>
      <c r="B1471" s="29">
        <f>MONTH(W_カレンダー[[#This Row],[日付]])</f>
        <v>4</v>
      </c>
      <c r="C1471" s="1">
        <f>YEAR(W_カレンダー[[#This Row],[日付]])</f>
        <v>2027</v>
      </c>
      <c r="D1471" s="1">
        <f>IF(W_カレンダー[[#This Row],[月]]&lt;=3,W_カレンダー[[#This Row],[暦年]]-1,W_カレンダー[[#This Row],[暦年]])</f>
        <v>2027</v>
      </c>
      <c r="E1471" s="1" t="str">
        <f>IF(W_カレンダー[[#This Row],[月]]&lt;=3,"Q4",IF(W_カレンダー[[#This Row],[月]]&lt;=6,"Q1",IF(W_カレンダー[[#This Row],[月]]&lt;=9,"Q2","Q3")))</f>
        <v>Q1</v>
      </c>
    </row>
    <row r="1472" spans="1:5" ht="18" customHeight="1" x14ac:dyDescent="0.25">
      <c r="A1472" s="27">
        <v>46487</v>
      </c>
      <c r="B1472" s="29">
        <f>MONTH(W_カレンダー[[#This Row],[日付]])</f>
        <v>4</v>
      </c>
      <c r="C1472" s="1">
        <f>YEAR(W_カレンダー[[#This Row],[日付]])</f>
        <v>2027</v>
      </c>
      <c r="D1472" s="1">
        <f>IF(W_カレンダー[[#This Row],[月]]&lt;=3,W_カレンダー[[#This Row],[暦年]]-1,W_カレンダー[[#This Row],[暦年]])</f>
        <v>2027</v>
      </c>
      <c r="E1472" s="1" t="str">
        <f>IF(W_カレンダー[[#This Row],[月]]&lt;=3,"Q4",IF(W_カレンダー[[#This Row],[月]]&lt;=6,"Q1",IF(W_カレンダー[[#This Row],[月]]&lt;=9,"Q2","Q3")))</f>
        <v>Q1</v>
      </c>
    </row>
    <row r="1473" spans="1:5" ht="18" customHeight="1" x14ac:dyDescent="0.25">
      <c r="A1473" s="27">
        <v>46488</v>
      </c>
      <c r="B1473" s="29">
        <f>MONTH(W_カレンダー[[#This Row],[日付]])</f>
        <v>4</v>
      </c>
      <c r="C1473" s="1">
        <f>YEAR(W_カレンダー[[#This Row],[日付]])</f>
        <v>2027</v>
      </c>
      <c r="D1473" s="1">
        <f>IF(W_カレンダー[[#This Row],[月]]&lt;=3,W_カレンダー[[#This Row],[暦年]]-1,W_カレンダー[[#This Row],[暦年]])</f>
        <v>2027</v>
      </c>
      <c r="E1473" s="1" t="str">
        <f>IF(W_カレンダー[[#This Row],[月]]&lt;=3,"Q4",IF(W_カレンダー[[#This Row],[月]]&lt;=6,"Q1",IF(W_カレンダー[[#This Row],[月]]&lt;=9,"Q2","Q3")))</f>
        <v>Q1</v>
      </c>
    </row>
    <row r="1474" spans="1:5" ht="18" customHeight="1" x14ac:dyDescent="0.25">
      <c r="A1474" s="27">
        <v>46489</v>
      </c>
      <c r="B1474" s="29">
        <f>MONTH(W_カレンダー[[#This Row],[日付]])</f>
        <v>4</v>
      </c>
      <c r="C1474" s="1">
        <f>YEAR(W_カレンダー[[#This Row],[日付]])</f>
        <v>2027</v>
      </c>
      <c r="D1474" s="1">
        <f>IF(W_カレンダー[[#This Row],[月]]&lt;=3,W_カレンダー[[#This Row],[暦年]]-1,W_カレンダー[[#This Row],[暦年]])</f>
        <v>2027</v>
      </c>
      <c r="E1474" s="1" t="str">
        <f>IF(W_カレンダー[[#This Row],[月]]&lt;=3,"Q4",IF(W_カレンダー[[#This Row],[月]]&lt;=6,"Q1",IF(W_カレンダー[[#This Row],[月]]&lt;=9,"Q2","Q3")))</f>
        <v>Q1</v>
      </c>
    </row>
    <row r="1475" spans="1:5" ht="18" customHeight="1" x14ac:dyDescent="0.25">
      <c r="A1475" s="27">
        <v>46490</v>
      </c>
      <c r="B1475" s="29">
        <f>MONTH(W_カレンダー[[#This Row],[日付]])</f>
        <v>4</v>
      </c>
      <c r="C1475" s="1">
        <f>YEAR(W_カレンダー[[#This Row],[日付]])</f>
        <v>2027</v>
      </c>
      <c r="D1475" s="1">
        <f>IF(W_カレンダー[[#This Row],[月]]&lt;=3,W_カレンダー[[#This Row],[暦年]]-1,W_カレンダー[[#This Row],[暦年]])</f>
        <v>2027</v>
      </c>
      <c r="E1475" s="1" t="str">
        <f>IF(W_カレンダー[[#This Row],[月]]&lt;=3,"Q4",IF(W_カレンダー[[#This Row],[月]]&lt;=6,"Q1",IF(W_カレンダー[[#This Row],[月]]&lt;=9,"Q2","Q3")))</f>
        <v>Q1</v>
      </c>
    </row>
    <row r="1476" spans="1:5" ht="18" customHeight="1" x14ac:dyDescent="0.25">
      <c r="A1476" s="27">
        <v>46491</v>
      </c>
      <c r="B1476" s="29">
        <f>MONTH(W_カレンダー[[#This Row],[日付]])</f>
        <v>4</v>
      </c>
      <c r="C1476" s="1">
        <f>YEAR(W_カレンダー[[#This Row],[日付]])</f>
        <v>2027</v>
      </c>
      <c r="D1476" s="1">
        <f>IF(W_カレンダー[[#This Row],[月]]&lt;=3,W_カレンダー[[#This Row],[暦年]]-1,W_カレンダー[[#This Row],[暦年]])</f>
        <v>2027</v>
      </c>
      <c r="E1476" s="1" t="str">
        <f>IF(W_カレンダー[[#This Row],[月]]&lt;=3,"Q4",IF(W_カレンダー[[#This Row],[月]]&lt;=6,"Q1",IF(W_カレンダー[[#This Row],[月]]&lt;=9,"Q2","Q3")))</f>
        <v>Q1</v>
      </c>
    </row>
    <row r="1477" spans="1:5" ht="18" customHeight="1" x14ac:dyDescent="0.25">
      <c r="A1477" s="27">
        <v>46492</v>
      </c>
      <c r="B1477" s="29">
        <f>MONTH(W_カレンダー[[#This Row],[日付]])</f>
        <v>4</v>
      </c>
      <c r="C1477" s="1">
        <f>YEAR(W_カレンダー[[#This Row],[日付]])</f>
        <v>2027</v>
      </c>
      <c r="D1477" s="1">
        <f>IF(W_カレンダー[[#This Row],[月]]&lt;=3,W_カレンダー[[#This Row],[暦年]]-1,W_カレンダー[[#This Row],[暦年]])</f>
        <v>2027</v>
      </c>
      <c r="E1477" s="1" t="str">
        <f>IF(W_カレンダー[[#This Row],[月]]&lt;=3,"Q4",IF(W_カレンダー[[#This Row],[月]]&lt;=6,"Q1",IF(W_カレンダー[[#This Row],[月]]&lt;=9,"Q2","Q3")))</f>
        <v>Q1</v>
      </c>
    </row>
    <row r="1478" spans="1:5" ht="18" customHeight="1" x14ac:dyDescent="0.25">
      <c r="A1478" s="27">
        <v>46493</v>
      </c>
      <c r="B1478" s="29">
        <f>MONTH(W_カレンダー[[#This Row],[日付]])</f>
        <v>4</v>
      </c>
      <c r="C1478" s="1">
        <f>YEAR(W_カレンダー[[#This Row],[日付]])</f>
        <v>2027</v>
      </c>
      <c r="D1478" s="1">
        <f>IF(W_カレンダー[[#This Row],[月]]&lt;=3,W_カレンダー[[#This Row],[暦年]]-1,W_カレンダー[[#This Row],[暦年]])</f>
        <v>2027</v>
      </c>
      <c r="E1478" s="1" t="str">
        <f>IF(W_カレンダー[[#This Row],[月]]&lt;=3,"Q4",IF(W_カレンダー[[#This Row],[月]]&lt;=6,"Q1",IF(W_カレンダー[[#This Row],[月]]&lt;=9,"Q2","Q3")))</f>
        <v>Q1</v>
      </c>
    </row>
    <row r="1479" spans="1:5" ht="18" customHeight="1" x14ac:dyDescent="0.25">
      <c r="A1479" s="27">
        <v>46494</v>
      </c>
      <c r="B1479" s="29">
        <f>MONTH(W_カレンダー[[#This Row],[日付]])</f>
        <v>4</v>
      </c>
      <c r="C1479" s="1">
        <f>YEAR(W_カレンダー[[#This Row],[日付]])</f>
        <v>2027</v>
      </c>
      <c r="D1479" s="1">
        <f>IF(W_カレンダー[[#This Row],[月]]&lt;=3,W_カレンダー[[#This Row],[暦年]]-1,W_カレンダー[[#This Row],[暦年]])</f>
        <v>2027</v>
      </c>
      <c r="E1479" s="1" t="str">
        <f>IF(W_カレンダー[[#This Row],[月]]&lt;=3,"Q4",IF(W_カレンダー[[#This Row],[月]]&lt;=6,"Q1",IF(W_カレンダー[[#This Row],[月]]&lt;=9,"Q2","Q3")))</f>
        <v>Q1</v>
      </c>
    </row>
    <row r="1480" spans="1:5" ht="18" customHeight="1" x14ac:dyDescent="0.25">
      <c r="A1480" s="27">
        <v>46495</v>
      </c>
      <c r="B1480" s="29">
        <f>MONTH(W_カレンダー[[#This Row],[日付]])</f>
        <v>4</v>
      </c>
      <c r="C1480" s="1">
        <f>YEAR(W_カレンダー[[#This Row],[日付]])</f>
        <v>2027</v>
      </c>
      <c r="D1480" s="1">
        <f>IF(W_カレンダー[[#This Row],[月]]&lt;=3,W_カレンダー[[#This Row],[暦年]]-1,W_カレンダー[[#This Row],[暦年]])</f>
        <v>2027</v>
      </c>
      <c r="E1480" s="1" t="str">
        <f>IF(W_カレンダー[[#This Row],[月]]&lt;=3,"Q4",IF(W_カレンダー[[#This Row],[月]]&lt;=6,"Q1",IF(W_カレンダー[[#This Row],[月]]&lt;=9,"Q2","Q3")))</f>
        <v>Q1</v>
      </c>
    </row>
    <row r="1481" spans="1:5" ht="18" customHeight="1" x14ac:dyDescent="0.25">
      <c r="A1481" s="27">
        <v>46496</v>
      </c>
      <c r="B1481" s="29">
        <f>MONTH(W_カレンダー[[#This Row],[日付]])</f>
        <v>4</v>
      </c>
      <c r="C1481" s="1">
        <f>YEAR(W_カレンダー[[#This Row],[日付]])</f>
        <v>2027</v>
      </c>
      <c r="D1481" s="1">
        <f>IF(W_カレンダー[[#This Row],[月]]&lt;=3,W_カレンダー[[#This Row],[暦年]]-1,W_カレンダー[[#This Row],[暦年]])</f>
        <v>2027</v>
      </c>
      <c r="E1481" s="1" t="str">
        <f>IF(W_カレンダー[[#This Row],[月]]&lt;=3,"Q4",IF(W_カレンダー[[#This Row],[月]]&lt;=6,"Q1",IF(W_カレンダー[[#This Row],[月]]&lt;=9,"Q2","Q3")))</f>
        <v>Q1</v>
      </c>
    </row>
    <row r="1482" spans="1:5" ht="18" customHeight="1" x14ac:dyDescent="0.25">
      <c r="A1482" s="27">
        <v>46497</v>
      </c>
      <c r="B1482" s="29">
        <f>MONTH(W_カレンダー[[#This Row],[日付]])</f>
        <v>4</v>
      </c>
      <c r="C1482" s="1">
        <f>YEAR(W_カレンダー[[#This Row],[日付]])</f>
        <v>2027</v>
      </c>
      <c r="D1482" s="1">
        <f>IF(W_カレンダー[[#This Row],[月]]&lt;=3,W_カレンダー[[#This Row],[暦年]]-1,W_カレンダー[[#This Row],[暦年]])</f>
        <v>2027</v>
      </c>
      <c r="E1482" s="1" t="str">
        <f>IF(W_カレンダー[[#This Row],[月]]&lt;=3,"Q4",IF(W_カレンダー[[#This Row],[月]]&lt;=6,"Q1",IF(W_カレンダー[[#This Row],[月]]&lt;=9,"Q2","Q3")))</f>
        <v>Q1</v>
      </c>
    </row>
    <row r="1483" spans="1:5" ht="18" customHeight="1" x14ac:dyDescent="0.25">
      <c r="A1483" s="27">
        <v>46498</v>
      </c>
      <c r="B1483" s="29">
        <f>MONTH(W_カレンダー[[#This Row],[日付]])</f>
        <v>4</v>
      </c>
      <c r="C1483" s="1">
        <f>YEAR(W_カレンダー[[#This Row],[日付]])</f>
        <v>2027</v>
      </c>
      <c r="D1483" s="1">
        <f>IF(W_カレンダー[[#This Row],[月]]&lt;=3,W_カレンダー[[#This Row],[暦年]]-1,W_カレンダー[[#This Row],[暦年]])</f>
        <v>2027</v>
      </c>
      <c r="E1483" s="1" t="str">
        <f>IF(W_カレンダー[[#This Row],[月]]&lt;=3,"Q4",IF(W_カレンダー[[#This Row],[月]]&lt;=6,"Q1",IF(W_カレンダー[[#This Row],[月]]&lt;=9,"Q2","Q3")))</f>
        <v>Q1</v>
      </c>
    </row>
    <row r="1484" spans="1:5" ht="18" customHeight="1" x14ac:dyDescent="0.25">
      <c r="A1484" s="27">
        <v>46499</v>
      </c>
      <c r="B1484" s="29">
        <f>MONTH(W_カレンダー[[#This Row],[日付]])</f>
        <v>4</v>
      </c>
      <c r="C1484" s="1">
        <f>YEAR(W_カレンダー[[#This Row],[日付]])</f>
        <v>2027</v>
      </c>
      <c r="D1484" s="1">
        <f>IF(W_カレンダー[[#This Row],[月]]&lt;=3,W_カレンダー[[#This Row],[暦年]]-1,W_カレンダー[[#This Row],[暦年]])</f>
        <v>2027</v>
      </c>
      <c r="E1484" s="1" t="str">
        <f>IF(W_カレンダー[[#This Row],[月]]&lt;=3,"Q4",IF(W_カレンダー[[#This Row],[月]]&lt;=6,"Q1",IF(W_カレンダー[[#This Row],[月]]&lt;=9,"Q2","Q3")))</f>
        <v>Q1</v>
      </c>
    </row>
    <row r="1485" spans="1:5" ht="18" customHeight="1" x14ac:dyDescent="0.25">
      <c r="A1485" s="27">
        <v>46500</v>
      </c>
      <c r="B1485" s="29">
        <f>MONTH(W_カレンダー[[#This Row],[日付]])</f>
        <v>4</v>
      </c>
      <c r="C1485" s="1">
        <f>YEAR(W_カレンダー[[#This Row],[日付]])</f>
        <v>2027</v>
      </c>
      <c r="D1485" s="1">
        <f>IF(W_カレンダー[[#This Row],[月]]&lt;=3,W_カレンダー[[#This Row],[暦年]]-1,W_カレンダー[[#This Row],[暦年]])</f>
        <v>2027</v>
      </c>
      <c r="E1485" s="1" t="str">
        <f>IF(W_カレンダー[[#This Row],[月]]&lt;=3,"Q4",IF(W_カレンダー[[#This Row],[月]]&lt;=6,"Q1",IF(W_カレンダー[[#This Row],[月]]&lt;=9,"Q2","Q3")))</f>
        <v>Q1</v>
      </c>
    </row>
    <row r="1486" spans="1:5" ht="18" customHeight="1" x14ac:dyDescent="0.25">
      <c r="A1486" s="27">
        <v>46501</v>
      </c>
      <c r="B1486" s="29">
        <f>MONTH(W_カレンダー[[#This Row],[日付]])</f>
        <v>4</v>
      </c>
      <c r="C1486" s="1">
        <f>YEAR(W_カレンダー[[#This Row],[日付]])</f>
        <v>2027</v>
      </c>
      <c r="D1486" s="1">
        <f>IF(W_カレンダー[[#This Row],[月]]&lt;=3,W_カレンダー[[#This Row],[暦年]]-1,W_カレンダー[[#This Row],[暦年]])</f>
        <v>2027</v>
      </c>
      <c r="E1486" s="1" t="str">
        <f>IF(W_カレンダー[[#This Row],[月]]&lt;=3,"Q4",IF(W_カレンダー[[#This Row],[月]]&lt;=6,"Q1",IF(W_カレンダー[[#This Row],[月]]&lt;=9,"Q2","Q3")))</f>
        <v>Q1</v>
      </c>
    </row>
    <row r="1487" spans="1:5" ht="18" customHeight="1" x14ac:dyDescent="0.25">
      <c r="A1487" s="27">
        <v>46502</v>
      </c>
      <c r="B1487" s="29">
        <f>MONTH(W_カレンダー[[#This Row],[日付]])</f>
        <v>4</v>
      </c>
      <c r="C1487" s="1">
        <f>YEAR(W_カレンダー[[#This Row],[日付]])</f>
        <v>2027</v>
      </c>
      <c r="D1487" s="1">
        <f>IF(W_カレンダー[[#This Row],[月]]&lt;=3,W_カレンダー[[#This Row],[暦年]]-1,W_カレンダー[[#This Row],[暦年]])</f>
        <v>2027</v>
      </c>
      <c r="E1487" s="1" t="str">
        <f>IF(W_カレンダー[[#This Row],[月]]&lt;=3,"Q4",IF(W_カレンダー[[#This Row],[月]]&lt;=6,"Q1",IF(W_カレンダー[[#This Row],[月]]&lt;=9,"Q2","Q3")))</f>
        <v>Q1</v>
      </c>
    </row>
    <row r="1488" spans="1:5" ht="18" customHeight="1" x14ac:dyDescent="0.25">
      <c r="A1488" s="27">
        <v>46503</v>
      </c>
      <c r="B1488" s="29">
        <f>MONTH(W_カレンダー[[#This Row],[日付]])</f>
        <v>4</v>
      </c>
      <c r="C1488" s="1">
        <f>YEAR(W_カレンダー[[#This Row],[日付]])</f>
        <v>2027</v>
      </c>
      <c r="D1488" s="1">
        <f>IF(W_カレンダー[[#This Row],[月]]&lt;=3,W_カレンダー[[#This Row],[暦年]]-1,W_カレンダー[[#This Row],[暦年]])</f>
        <v>2027</v>
      </c>
      <c r="E1488" s="1" t="str">
        <f>IF(W_カレンダー[[#This Row],[月]]&lt;=3,"Q4",IF(W_カレンダー[[#This Row],[月]]&lt;=6,"Q1",IF(W_カレンダー[[#This Row],[月]]&lt;=9,"Q2","Q3")))</f>
        <v>Q1</v>
      </c>
    </row>
    <row r="1489" spans="1:5" ht="18" customHeight="1" x14ac:dyDescent="0.25">
      <c r="A1489" s="27">
        <v>46504</v>
      </c>
      <c r="B1489" s="29">
        <f>MONTH(W_カレンダー[[#This Row],[日付]])</f>
        <v>4</v>
      </c>
      <c r="C1489" s="1">
        <f>YEAR(W_カレンダー[[#This Row],[日付]])</f>
        <v>2027</v>
      </c>
      <c r="D1489" s="1">
        <f>IF(W_カレンダー[[#This Row],[月]]&lt;=3,W_カレンダー[[#This Row],[暦年]]-1,W_カレンダー[[#This Row],[暦年]])</f>
        <v>2027</v>
      </c>
      <c r="E1489" s="1" t="str">
        <f>IF(W_カレンダー[[#This Row],[月]]&lt;=3,"Q4",IF(W_カレンダー[[#This Row],[月]]&lt;=6,"Q1",IF(W_カレンダー[[#This Row],[月]]&lt;=9,"Q2","Q3")))</f>
        <v>Q1</v>
      </c>
    </row>
    <row r="1490" spans="1:5" ht="18" customHeight="1" x14ac:dyDescent="0.25">
      <c r="A1490" s="27">
        <v>46505</v>
      </c>
      <c r="B1490" s="29">
        <f>MONTH(W_カレンダー[[#This Row],[日付]])</f>
        <v>4</v>
      </c>
      <c r="C1490" s="1">
        <f>YEAR(W_カレンダー[[#This Row],[日付]])</f>
        <v>2027</v>
      </c>
      <c r="D1490" s="1">
        <f>IF(W_カレンダー[[#This Row],[月]]&lt;=3,W_カレンダー[[#This Row],[暦年]]-1,W_カレンダー[[#This Row],[暦年]])</f>
        <v>2027</v>
      </c>
      <c r="E1490" s="1" t="str">
        <f>IF(W_カレンダー[[#This Row],[月]]&lt;=3,"Q4",IF(W_カレンダー[[#This Row],[月]]&lt;=6,"Q1",IF(W_カレンダー[[#This Row],[月]]&lt;=9,"Q2","Q3")))</f>
        <v>Q1</v>
      </c>
    </row>
    <row r="1491" spans="1:5" ht="18" customHeight="1" x14ac:dyDescent="0.25">
      <c r="A1491" s="27">
        <v>46506</v>
      </c>
      <c r="B1491" s="29">
        <f>MONTH(W_カレンダー[[#This Row],[日付]])</f>
        <v>4</v>
      </c>
      <c r="C1491" s="1">
        <f>YEAR(W_カレンダー[[#This Row],[日付]])</f>
        <v>2027</v>
      </c>
      <c r="D1491" s="1">
        <f>IF(W_カレンダー[[#This Row],[月]]&lt;=3,W_カレンダー[[#This Row],[暦年]]-1,W_カレンダー[[#This Row],[暦年]])</f>
        <v>2027</v>
      </c>
      <c r="E1491" s="1" t="str">
        <f>IF(W_カレンダー[[#This Row],[月]]&lt;=3,"Q4",IF(W_カレンダー[[#This Row],[月]]&lt;=6,"Q1",IF(W_カレンダー[[#This Row],[月]]&lt;=9,"Q2","Q3")))</f>
        <v>Q1</v>
      </c>
    </row>
    <row r="1492" spans="1:5" ht="18" customHeight="1" x14ac:dyDescent="0.25">
      <c r="A1492" s="27">
        <v>46507</v>
      </c>
      <c r="B1492" s="29">
        <f>MONTH(W_カレンダー[[#This Row],[日付]])</f>
        <v>4</v>
      </c>
      <c r="C1492" s="1">
        <f>YEAR(W_カレンダー[[#This Row],[日付]])</f>
        <v>2027</v>
      </c>
      <c r="D1492" s="1">
        <f>IF(W_カレンダー[[#This Row],[月]]&lt;=3,W_カレンダー[[#This Row],[暦年]]-1,W_カレンダー[[#This Row],[暦年]])</f>
        <v>2027</v>
      </c>
      <c r="E1492" s="1" t="str">
        <f>IF(W_カレンダー[[#This Row],[月]]&lt;=3,"Q4",IF(W_カレンダー[[#This Row],[月]]&lt;=6,"Q1",IF(W_カレンダー[[#This Row],[月]]&lt;=9,"Q2","Q3")))</f>
        <v>Q1</v>
      </c>
    </row>
    <row r="1493" spans="1:5" ht="18" customHeight="1" x14ac:dyDescent="0.25">
      <c r="A1493" s="27">
        <v>46508</v>
      </c>
      <c r="B1493" s="29">
        <f>MONTH(W_カレンダー[[#This Row],[日付]])</f>
        <v>5</v>
      </c>
      <c r="C1493" s="1">
        <f>YEAR(W_カレンダー[[#This Row],[日付]])</f>
        <v>2027</v>
      </c>
      <c r="D1493" s="1">
        <f>IF(W_カレンダー[[#This Row],[月]]&lt;=3,W_カレンダー[[#This Row],[暦年]]-1,W_カレンダー[[#This Row],[暦年]])</f>
        <v>2027</v>
      </c>
      <c r="E1493" s="1" t="str">
        <f>IF(W_カレンダー[[#This Row],[月]]&lt;=3,"Q4",IF(W_カレンダー[[#This Row],[月]]&lt;=6,"Q1",IF(W_カレンダー[[#This Row],[月]]&lt;=9,"Q2","Q3")))</f>
        <v>Q1</v>
      </c>
    </row>
    <row r="1494" spans="1:5" ht="18" customHeight="1" x14ac:dyDescent="0.25">
      <c r="A1494" s="27">
        <v>46509</v>
      </c>
      <c r="B1494" s="29">
        <f>MONTH(W_カレンダー[[#This Row],[日付]])</f>
        <v>5</v>
      </c>
      <c r="C1494" s="1">
        <f>YEAR(W_カレンダー[[#This Row],[日付]])</f>
        <v>2027</v>
      </c>
      <c r="D1494" s="1">
        <f>IF(W_カレンダー[[#This Row],[月]]&lt;=3,W_カレンダー[[#This Row],[暦年]]-1,W_カレンダー[[#This Row],[暦年]])</f>
        <v>2027</v>
      </c>
      <c r="E1494" s="1" t="str">
        <f>IF(W_カレンダー[[#This Row],[月]]&lt;=3,"Q4",IF(W_カレンダー[[#This Row],[月]]&lt;=6,"Q1",IF(W_カレンダー[[#This Row],[月]]&lt;=9,"Q2","Q3")))</f>
        <v>Q1</v>
      </c>
    </row>
    <row r="1495" spans="1:5" ht="18" customHeight="1" x14ac:dyDescent="0.25">
      <c r="A1495" s="27">
        <v>46510</v>
      </c>
      <c r="B1495" s="29">
        <f>MONTH(W_カレンダー[[#This Row],[日付]])</f>
        <v>5</v>
      </c>
      <c r="C1495" s="1">
        <f>YEAR(W_カレンダー[[#This Row],[日付]])</f>
        <v>2027</v>
      </c>
      <c r="D1495" s="1">
        <f>IF(W_カレンダー[[#This Row],[月]]&lt;=3,W_カレンダー[[#This Row],[暦年]]-1,W_カレンダー[[#This Row],[暦年]])</f>
        <v>2027</v>
      </c>
      <c r="E1495" s="1" t="str">
        <f>IF(W_カレンダー[[#This Row],[月]]&lt;=3,"Q4",IF(W_カレンダー[[#This Row],[月]]&lt;=6,"Q1",IF(W_カレンダー[[#This Row],[月]]&lt;=9,"Q2","Q3")))</f>
        <v>Q1</v>
      </c>
    </row>
    <row r="1496" spans="1:5" ht="18" customHeight="1" x14ac:dyDescent="0.25">
      <c r="A1496" s="27">
        <v>46511</v>
      </c>
      <c r="B1496" s="29">
        <f>MONTH(W_カレンダー[[#This Row],[日付]])</f>
        <v>5</v>
      </c>
      <c r="C1496" s="1">
        <f>YEAR(W_カレンダー[[#This Row],[日付]])</f>
        <v>2027</v>
      </c>
      <c r="D1496" s="1">
        <f>IF(W_カレンダー[[#This Row],[月]]&lt;=3,W_カレンダー[[#This Row],[暦年]]-1,W_カレンダー[[#This Row],[暦年]])</f>
        <v>2027</v>
      </c>
      <c r="E1496" s="1" t="str">
        <f>IF(W_カレンダー[[#This Row],[月]]&lt;=3,"Q4",IF(W_カレンダー[[#This Row],[月]]&lt;=6,"Q1",IF(W_カレンダー[[#This Row],[月]]&lt;=9,"Q2","Q3")))</f>
        <v>Q1</v>
      </c>
    </row>
    <row r="1497" spans="1:5" ht="18" customHeight="1" x14ac:dyDescent="0.25">
      <c r="A1497" s="27">
        <v>46512</v>
      </c>
      <c r="B1497" s="29">
        <f>MONTH(W_カレンダー[[#This Row],[日付]])</f>
        <v>5</v>
      </c>
      <c r="C1497" s="1">
        <f>YEAR(W_カレンダー[[#This Row],[日付]])</f>
        <v>2027</v>
      </c>
      <c r="D1497" s="1">
        <f>IF(W_カレンダー[[#This Row],[月]]&lt;=3,W_カレンダー[[#This Row],[暦年]]-1,W_カレンダー[[#This Row],[暦年]])</f>
        <v>2027</v>
      </c>
      <c r="E1497" s="1" t="str">
        <f>IF(W_カレンダー[[#This Row],[月]]&lt;=3,"Q4",IF(W_カレンダー[[#This Row],[月]]&lt;=6,"Q1",IF(W_カレンダー[[#This Row],[月]]&lt;=9,"Q2","Q3")))</f>
        <v>Q1</v>
      </c>
    </row>
    <row r="1498" spans="1:5" ht="18" customHeight="1" x14ac:dyDescent="0.25">
      <c r="A1498" s="27">
        <v>46513</v>
      </c>
      <c r="B1498" s="29">
        <f>MONTH(W_カレンダー[[#This Row],[日付]])</f>
        <v>5</v>
      </c>
      <c r="C1498" s="1">
        <f>YEAR(W_カレンダー[[#This Row],[日付]])</f>
        <v>2027</v>
      </c>
      <c r="D1498" s="1">
        <f>IF(W_カレンダー[[#This Row],[月]]&lt;=3,W_カレンダー[[#This Row],[暦年]]-1,W_カレンダー[[#This Row],[暦年]])</f>
        <v>2027</v>
      </c>
      <c r="E1498" s="1" t="str">
        <f>IF(W_カレンダー[[#This Row],[月]]&lt;=3,"Q4",IF(W_カレンダー[[#This Row],[月]]&lt;=6,"Q1",IF(W_カレンダー[[#This Row],[月]]&lt;=9,"Q2","Q3")))</f>
        <v>Q1</v>
      </c>
    </row>
    <row r="1499" spans="1:5" ht="18" customHeight="1" x14ac:dyDescent="0.25">
      <c r="A1499" s="27">
        <v>46514</v>
      </c>
      <c r="B1499" s="29">
        <f>MONTH(W_カレンダー[[#This Row],[日付]])</f>
        <v>5</v>
      </c>
      <c r="C1499" s="1">
        <f>YEAR(W_カレンダー[[#This Row],[日付]])</f>
        <v>2027</v>
      </c>
      <c r="D1499" s="1">
        <f>IF(W_カレンダー[[#This Row],[月]]&lt;=3,W_カレンダー[[#This Row],[暦年]]-1,W_カレンダー[[#This Row],[暦年]])</f>
        <v>2027</v>
      </c>
      <c r="E1499" s="1" t="str">
        <f>IF(W_カレンダー[[#This Row],[月]]&lt;=3,"Q4",IF(W_カレンダー[[#This Row],[月]]&lt;=6,"Q1",IF(W_カレンダー[[#This Row],[月]]&lt;=9,"Q2","Q3")))</f>
        <v>Q1</v>
      </c>
    </row>
    <row r="1500" spans="1:5" ht="18" customHeight="1" x14ac:dyDescent="0.25">
      <c r="A1500" s="27">
        <v>46515</v>
      </c>
      <c r="B1500" s="29">
        <f>MONTH(W_カレンダー[[#This Row],[日付]])</f>
        <v>5</v>
      </c>
      <c r="C1500" s="1">
        <f>YEAR(W_カレンダー[[#This Row],[日付]])</f>
        <v>2027</v>
      </c>
      <c r="D1500" s="1">
        <f>IF(W_カレンダー[[#This Row],[月]]&lt;=3,W_カレンダー[[#This Row],[暦年]]-1,W_カレンダー[[#This Row],[暦年]])</f>
        <v>2027</v>
      </c>
      <c r="E1500" s="1" t="str">
        <f>IF(W_カレンダー[[#This Row],[月]]&lt;=3,"Q4",IF(W_カレンダー[[#This Row],[月]]&lt;=6,"Q1",IF(W_カレンダー[[#This Row],[月]]&lt;=9,"Q2","Q3")))</f>
        <v>Q1</v>
      </c>
    </row>
    <row r="1501" spans="1:5" ht="18" customHeight="1" x14ac:dyDescent="0.25">
      <c r="A1501" s="27">
        <v>46516</v>
      </c>
      <c r="B1501" s="29">
        <f>MONTH(W_カレンダー[[#This Row],[日付]])</f>
        <v>5</v>
      </c>
      <c r="C1501" s="1">
        <f>YEAR(W_カレンダー[[#This Row],[日付]])</f>
        <v>2027</v>
      </c>
      <c r="D1501" s="1">
        <f>IF(W_カレンダー[[#This Row],[月]]&lt;=3,W_カレンダー[[#This Row],[暦年]]-1,W_カレンダー[[#This Row],[暦年]])</f>
        <v>2027</v>
      </c>
      <c r="E1501" s="1" t="str">
        <f>IF(W_カレンダー[[#This Row],[月]]&lt;=3,"Q4",IF(W_カレンダー[[#This Row],[月]]&lt;=6,"Q1",IF(W_カレンダー[[#This Row],[月]]&lt;=9,"Q2","Q3")))</f>
        <v>Q1</v>
      </c>
    </row>
    <row r="1502" spans="1:5" ht="18" customHeight="1" x14ac:dyDescent="0.25">
      <c r="A1502" s="27">
        <v>46517</v>
      </c>
      <c r="B1502" s="29">
        <f>MONTH(W_カレンダー[[#This Row],[日付]])</f>
        <v>5</v>
      </c>
      <c r="C1502" s="1">
        <f>YEAR(W_カレンダー[[#This Row],[日付]])</f>
        <v>2027</v>
      </c>
      <c r="D1502" s="1">
        <f>IF(W_カレンダー[[#This Row],[月]]&lt;=3,W_カレンダー[[#This Row],[暦年]]-1,W_カレンダー[[#This Row],[暦年]])</f>
        <v>2027</v>
      </c>
      <c r="E1502" s="1" t="str">
        <f>IF(W_カレンダー[[#This Row],[月]]&lt;=3,"Q4",IF(W_カレンダー[[#This Row],[月]]&lt;=6,"Q1",IF(W_カレンダー[[#This Row],[月]]&lt;=9,"Q2","Q3")))</f>
        <v>Q1</v>
      </c>
    </row>
    <row r="1503" spans="1:5" ht="18" customHeight="1" x14ac:dyDescent="0.25">
      <c r="A1503" s="27">
        <v>46518</v>
      </c>
      <c r="B1503" s="29">
        <f>MONTH(W_カレンダー[[#This Row],[日付]])</f>
        <v>5</v>
      </c>
      <c r="C1503" s="1">
        <f>YEAR(W_カレンダー[[#This Row],[日付]])</f>
        <v>2027</v>
      </c>
      <c r="D1503" s="1">
        <f>IF(W_カレンダー[[#This Row],[月]]&lt;=3,W_カレンダー[[#This Row],[暦年]]-1,W_カレンダー[[#This Row],[暦年]])</f>
        <v>2027</v>
      </c>
      <c r="E1503" s="1" t="str">
        <f>IF(W_カレンダー[[#This Row],[月]]&lt;=3,"Q4",IF(W_カレンダー[[#This Row],[月]]&lt;=6,"Q1",IF(W_カレンダー[[#This Row],[月]]&lt;=9,"Q2","Q3")))</f>
        <v>Q1</v>
      </c>
    </row>
    <row r="1504" spans="1:5" ht="18" customHeight="1" x14ac:dyDescent="0.25">
      <c r="A1504" s="27">
        <v>46519</v>
      </c>
      <c r="B1504" s="29">
        <f>MONTH(W_カレンダー[[#This Row],[日付]])</f>
        <v>5</v>
      </c>
      <c r="C1504" s="1">
        <f>YEAR(W_カレンダー[[#This Row],[日付]])</f>
        <v>2027</v>
      </c>
      <c r="D1504" s="1">
        <f>IF(W_カレンダー[[#This Row],[月]]&lt;=3,W_カレンダー[[#This Row],[暦年]]-1,W_カレンダー[[#This Row],[暦年]])</f>
        <v>2027</v>
      </c>
      <c r="E1504" s="1" t="str">
        <f>IF(W_カレンダー[[#This Row],[月]]&lt;=3,"Q4",IF(W_カレンダー[[#This Row],[月]]&lt;=6,"Q1",IF(W_カレンダー[[#This Row],[月]]&lt;=9,"Q2","Q3")))</f>
        <v>Q1</v>
      </c>
    </row>
    <row r="1505" spans="1:5" ht="18" customHeight="1" x14ac:dyDescent="0.25">
      <c r="A1505" s="27">
        <v>46520</v>
      </c>
      <c r="B1505" s="29">
        <f>MONTH(W_カレンダー[[#This Row],[日付]])</f>
        <v>5</v>
      </c>
      <c r="C1505" s="1">
        <f>YEAR(W_カレンダー[[#This Row],[日付]])</f>
        <v>2027</v>
      </c>
      <c r="D1505" s="1">
        <f>IF(W_カレンダー[[#This Row],[月]]&lt;=3,W_カレンダー[[#This Row],[暦年]]-1,W_カレンダー[[#This Row],[暦年]])</f>
        <v>2027</v>
      </c>
      <c r="E1505" s="1" t="str">
        <f>IF(W_カレンダー[[#This Row],[月]]&lt;=3,"Q4",IF(W_カレンダー[[#This Row],[月]]&lt;=6,"Q1",IF(W_カレンダー[[#This Row],[月]]&lt;=9,"Q2","Q3")))</f>
        <v>Q1</v>
      </c>
    </row>
    <row r="1506" spans="1:5" ht="18" customHeight="1" x14ac:dyDescent="0.25">
      <c r="A1506" s="27">
        <v>46521</v>
      </c>
      <c r="B1506" s="29">
        <f>MONTH(W_カレンダー[[#This Row],[日付]])</f>
        <v>5</v>
      </c>
      <c r="C1506" s="1">
        <f>YEAR(W_カレンダー[[#This Row],[日付]])</f>
        <v>2027</v>
      </c>
      <c r="D1506" s="1">
        <f>IF(W_カレンダー[[#This Row],[月]]&lt;=3,W_カレンダー[[#This Row],[暦年]]-1,W_カレンダー[[#This Row],[暦年]])</f>
        <v>2027</v>
      </c>
      <c r="E1506" s="1" t="str">
        <f>IF(W_カレンダー[[#This Row],[月]]&lt;=3,"Q4",IF(W_カレンダー[[#This Row],[月]]&lt;=6,"Q1",IF(W_カレンダー[[#This Row],[月]]&lt;=9,"Q2","Q3")))</f>
        <v>Q1</v>
      </c>
    </row>
    <row r="1507" spans="1:5" ht="18" customHeight="1" x14ac:dyDescent="0.25">
      <c r="A1507" s="27">
        <v>46522</v>
      </c>
      <c r="B1507" s="29">
        <f>MONTH(W_カレンダー[[#This Row],[日付]])</f>
        <v>5</v>
      </c>
      <c r="C1507" s="1">
        <f>YEAR(W_カレンダー[[#This Row],[日付]])</f>
        <v>2027</v>
      </c>
      <c r="D1507" s="1">
        <f>IF(W_カレンダー[[#This Row],[月]]&lt;=3,W_カレンダー[[#This Row],[暦年]]-1,W_カレンダー[[#This Row],[暦年]])</f>
        <v>2027</v>
      </c>
      <c r="E1507" s="1" t="str">
        <f>IF(W_カレンダー[[#This Row],[月]]&lt;=3,"Q4",IF(W_カレンダー[[#This Row],[月]]&lt;=6,"Q1",IF(W_カレンダー[[#This Row],[月]]&lt;=9,"Q2","Q3")))</f>
        <v>Q1</v>
      </c>
    </row>
    <row r="1508" spans="1:5" ht="18" customHeight="1" x14ac:dyDescent="0.25">
      <c r="A1508" s="27">
        <v>46523</v>
      </c>
      <c r="B1508" s="29">
        <f>MONTH(W_カレンダー[[#This Row],[日付]])</f>
        <v>5</v>
      </c>
      <c r="C1508" s="1">
        <f>YEAR(W_カレンダー[[#This Row],[日付]])</f>
        <v>2027</v>
      </c>
      <c r="D1508" s="1">
        <f>IF(W_カレンダー[[#This Row],[月]]&lt;=3,W_カレンダー[[#This Row],[暦年]]-1,W_カレンダー[[#This Row],[暦年]])</f>
        <v>2027</v>
      </c>
      <c r="E1508" s="1" t="str">
        <f>IF(W_カレンダー[[#This Row],[月]]&lt;=3,"Q4",IF(W_カレンダー[[#This Row],[月]]&lt;=6,"Q1",IF(W_カレンダー[[#This Row],[月]]&lt;=9,"Q2","Q3")))</f>
        <v>Q1</v>
      </c>
    </row>
    <row r="1509" spans="1:5" ht="18" customHeight="1" x14ac:dyDescent="0.25">
      <c r="A1509" s="27">
        <v>46524</v>
      </c>
      <c r="B1509" s="29">
        <f>MONTH(W_カレンダー[[#This Row],[日付]])</f>
        <v>5</v>
      </c>
      <c r="C1509" s="1">
        <f>YEAR(W_カレンダー[[#This Row],[日付]])</f>
        <v>2027</v>
      </c>
      <c r="D1509" s="1">
        <f>IF(W_カレンダー[[#This Row],[月]]&lt;=3,W_カレンダー[[#This Row],[暦年]]-1,W_カレンダー[[#This Row],[暦年]])</f>
        <v>2027</v>
      </c>
      <c r="E1509" s="1" t="str">
        <f>IF(W_カレンダー[[#This Row],[月]]&lt;=3,"Q4",IF(W_カレンダー[[#This Row],[月]]&lt;=6,"Q1",IF(W_カレンダー[[#This Row],[月]]&lt;=9,"Q2","Q3")))</f>
        <v>Q1</v>
      </c>
    </row>
    <row r="1510" spans="1:5" ht="18" customHeight="1" x14ac:dyDescent="0.25">
      <c r="A1510" s="27">
        <v>46525</v>
      </c>
      <c r="B1510" s="29">
        <f>MONTH(W_カレンダー[[#This Row],[日付]])</f>
        <v>5</v>
      </c>
      <c r="C1510" s="1">
        <f>YEAR(W_カレンダー[[#This Row],[日付]])</f>
        <v>2027</v>
      </c>
      <c r="D1510" s="1">
        <f>IF(W_カレンダー[[#This Row],[月]]&lt;=3,W_カレンダー[[#This Row],[暦年]]-1,W_カレンダー[[#This Row],[暦年]])</f>
        <v>2027</v>
      </c>
      <c r="E1510" s="1" t="str">
        <f>IF(W_カレンダー[[#This Row],[月]]&lt;=3,"Q4",IF(W_カレンダー[[#This Row],[月]]&lt;=6,"Q1",IF(W_カレンダー[[#This Row],[月]]&lt;=9,"Q2","Q3")))</f>
        <v>Q1</v>
      </c>
    </row>
    <row r="1511" spans="1:5" ht="18" customHeight="1" x14ac:dyDescent="0.25">
      <c r="A1511" s="27">
        <v>46526</v>
      </c>
      <c r="B1511" s="29">
        <f>MONTH(W_カレンダー[[#This Row],[日付]])</f>
        <v>5</v>
      </c>
      <c r="C1511" s="1">
        <f>YEAR(W_カレンダー[[#This Row],[日付]])</f>
        <v>2027</v>
      </c>
      <c r="D1511" s="1">
        <f>IF(W_カレンダー[[#This Row],[月]]&lt;=3,W_カレンダー[[#This Row],[暦年]]-1,W_カレンダー[[#This Row],[暦年]])</f>
        <v>2027</v>
      </c>
      <c r="E1511" s="1" t="str">
        <f>IF(W_カレンダー[[#This Row],[月]]&lt;=3,"Q4",IF(W_カレンダー[[#This Row],[月]]&lt;=6,"Q1",IF(W_カレンダー[[#This Row],[月]]&lt;=9,"Q2","Q3")))</f>
        <v>Q1</v>
      </c>
    </row>
    <row r="1512" spans="1:5" ht="18" customHeight="1" x14ac:dyDescent="0.25">
      <c r="A1512" s="27">
        <v>46527</v>
      </c>
      <c r="B1512" s="29">
        <f>MONTH(W_カレンダー[[#This Row],[日付]])</f>
        <v>5</v>
      </c>
      <c r="C1512" s="1">
        <f>YEAR(W_カレンダー[[#This Row],[日付]])</f>
        <v>2027</v>
      </c>
      <c r="D1512" s="1">
        <f>IF(W_カレンダー[[#This Row],[月]]&lt;=3,W_カレンダー[[#This Row],[暦年]]-1,W_カレンダー[[#This Row],[暦年]])</f>
        <v>2027</v>
      </c>
      <c r="E1512" s="1" t="str">
        <f>IF(W_カレンダー[[#This Row],[月]]&lt;=3,"Q4",IF(W_カレンダー[[#This Row],[月]]&lt;=6,"Q1",IF(W_カレンダー[[#This Row],[月]]&lt;=9,"Q2","Q3")))</f>
        <v>Q1</v>
      </c>
    </row>
    <row r="1513" spans="1:5" ht="18" customHeight="1" x14ac:dyDescent="0.25">
      <c r="A1513" s="27">
        <v>46528</v>
      </c>
      <c r="B1513" s="29">
        <f>MONTH(W_カレンダー[[#This Row],[日付]])</f>
        <v>5</v>
      </c>
      <c r="C1513" s="1">
        <f>YEAR(W_カレンダー[[#This Row],[日付]])</f>
        <v>2027</v>
      </c>
      <c r="D1513" s="1">
        <f>IF(W_カレンダー[[#This Row],[月]]&lt;=3,W_カレンダー[[#This Row],[暦年]]-1,W_カレンダー[[#This Row],[暦年]])</f>
        <v>2027</v>
      </c>
      <c r="E1513" s="1" t="str">
        <f>IF(W_カレンダー[[#This Row],[月]]&lt;=3,"Q4",IF(W_カレンダー[[#This Row],[月]]&lt;=6,"Q1",IF(W_カレンダー[[#This Row],[月]]&lt;=9,"Q2","Q3")))</f>
        <v>Q1</v>
      </c>
    </row>
    <row r="1514" spans="1:5" ht="18" customHeight="1" x14ac:dyDescent="0.25">
      <c r="A1514" s="27">
        <v>46529</v>
      </c>
      <c r="B1514" s="29">
        <f>MONTH(W_カレンダー[[#This Row],[日付]])</f>
        <v>5</v>
      </c>
      <c r="C1514" s="1">
        <f>YEAR(W_カレンダー[[#This Row],[日付]])</f>
        <v>2027</v>
      </c>
      <c r="D1514" s="1">
        <f>IF(W_カレンダー[[#This Row],[月]]&lt;=3,W_カレンダー[[#This Row],[暦年]]-1,W_カレンダー[[#This Row],[暦年]])</f>
        <v>2027</v>
      </c>
      <c r="E1514" s="1" t="str">
        <f>IF(W_カレンダー[[#This Row],[月]]&lt;=3,"Q4",IF(W_カレンダー[[#This Row],[月]]&lt;=6,"Q1",IF(W_カレンダー[[#This Row],[月]]&lt;=9,"Q2","Q3")))</f>
        <v>Q1</v>
      </c>
    </row>
    <row r="1515" spans="1:5" ht="18" customHeight="1" x14ac:dyDescent="0.25">
      <c r="A1515" s="27">
        <v>46530</v>
      </c>
      <c r="B1515" s="29">
        <f>MONTH(W_カレンダー[[#This Row],[日付]])</f>
        <v>5</v>
      </c>
      <c r="C1515" s="1">
        <f>YEAR(W_カレンダー[[#This Row],[日付]])</f>
        <v>2027</v>
      </c>
      <c r="D1515" s="1">
        <f>IF(W_カレンダー[[#This Row],[月]]&lt;=3,W_カレンダー[[#This Row],[暦年]]-1,W_カレンダー[[#This Row],[暦年]])</f>
        <v>2027</v>
      </c>
      <c r="E1515" s="1" t="str">
        <f>IF(W_カレンダー[[#This Row],[月]]&lt;=3,"Q4",IF(W_カレンダー[[#This Row],[月]]&lt;=6,"Q1",IF(W_カレンダー[[#This Row],[月]]&lt;=9,"Q2","Q3")))</f>
        <v>Q1</v>
      </c>
    </row>
    <row r="1516" spans="1:5" ht="18" customHeight="1" x14ac:dyDescent="0.25">
      <c r="A1516" s="27">
        <v>46531</v>
      </c>
      <c r="B1516" s="29">
        <f>MONTH(W_カレンダー[[#This Row],[日付]])</f>
        <v>5</v>
      </c>
      <c r="C1516" s="1">
        <f>YEAR(W_カレンダー[[#This Row],[日付]])</f>
        <v>2027</v>
      </c>
      <c r="D1516" s="1">
        <f>IF(W_カレンダー[[#This Row],[月]]&lt;=3,W_カレンダー[[#This Row],[暦年]]-1,W_カレンダー[[#This Row],[暦年]])</f>
        <v>2027</v>
      </c>
      <c r="E1516" s="1" t="str">
        <f>IF(W_カレンダー[[#This Row],[月]]&lt;=3,"Q4",IF(W_カレンダー[[#This Row],[月]]&lt;=6,"Q1",IF(W_カレンダー[[#This Row],[月]]&lt;=9,"Q2","Q3")))</f>
        <v>Q1</v>
      </c>
    </row>
    <row r="1517" spans="1:5" ht="18" customHeight="1" x14ac:dyDescent="0.25">
      <c r="A1517" s="27">
        <v>46532</v>
      </c>
      <c r="B1517" s="29">
        <f>MONTH(W_カレンダー[[#This Row],[日付]])</f>
        <v>5</v>
      </c>
      <c r="C1517" s="1">
        <f>YEAR(W_カレンダー[[#This Row],[日付]])</f>
        <v>2027</v>
      </c>
      <c r="D1517" s="1">
        <f>IF(W_カレンダー[[#This Row],[月]]&lt;=3,W_カレンダー[[#This Row],[暦年]]-1,W_カレンダー[[#This Row],[暦年]])</f>
        <v>2027</v>
      </c>
      <c r="E1517" s="1" t="str">
        <f>IF(W_カレンダー[[#This Row],[月]]&lt;=3,"Q4",IF(W_カレンダー[[#This Row],[月]]&lt;=6,"Q1",IF(W_カレンダー[[#This Row],[月]]&lt;=9,"Q2","Q3")))</f>
        <v>Q1</v>
      </c>
    </row>
    <row r="1518" spans="1:5" ht="18" customHeight="1" x14ac:dyDescent="0.25">
      <c r="A1518" s="27">
        <v>46533</v>
      </c>
      <c r="B1518" s="29">
        <f>MONTH(W_カレンダー[[#This Row],[日付]])</f>
        <v>5</v>
      </c>
      <c r="C1518" s="1">
        <f>YEAR(W_カレンダー[[#This Row],[日付]])</f>
        <v>2027</v>
      </c>
      <c r="D1518" s="1">
        <f>IF(W_カレンダー[[#This Row],[月]]&lt;=3,W_カレンダー[[#This Row],[暦年]]-1,W_カレンダー[[#This Row],[暦年]])</f>
        <v>2027</v>
      </c>
      <c r="E1518" s="1" t="str">
        <f>IF(W_カレンダー[[#This Row],[月]]&lt;=3,"Q4",IF(W_カレンダー[[#This Row],[月]]&lt;=6,"Q1",IF(W_カレンダー[[#This Row],[月]]&lt;=9,"Q2","Q3")))</f>
        <v>Q1</v>
      </c>
    </row>
    <row r="1519" spans="1:5" ht="18" customHeight="1" x14ac:dyDescent="0.25">
      <c r="A1519" s="27">
        <v>46534</v>
      </c>
      <c r="B1519" s="29">
        <f>MONTH(W_カレンダー[[#This Row],[日付]])</f>
        <v>5</v>
      </c>
      <c r="C1519" s="1">
        <f>YEAR(W_カレンダー[[#This Row],[日付]])</f>
        <v>2027</v>
      </c>
      <c r="D1519" s="1">
        <f>IF(W_カレンダー[[#This Row],[月]]&lt;=3,W_カレンダー[[#This Row],[暦年]]-1,W_カレンダー[[#This Row],[暦年]])</f>
        <v>2027</v>
      </c>
      <c r="E1519" s="1" t="str">
        <f>IF(W_カレンダー[[#This Row],[月]]&lt;=3,"Q4",IF(W_カレンダー[[#This Row],[月]]&lt;=6,"Q1",IF(W_カレンダー[[#This Row],[月]]&lt;=9,"Q2","Q3")))</f>
        <v>Q1</v>
      </c>
    </row>
    <row r="1520" spans="1:5" ht="18" customHeight="1" x14ac:dyDescent="0.25">
      <c r="A1520" s="27">
        <v>46535</v>
      </c>
      <c r="B1520" s="29">
        <f>MONTH(W_カレンダー[[#This Row],[日付]])</f>
        <v>5</v>
      </c>
      <c r="C1520" s="1">
        <f>YEAR(W_カレンダー[[#This Row],[日付]])</f>
        <v>2027</v>
      </c>
      <c r="D1520" s="1">
        <f>IF(W_カレンダー[[#This Row],[月]]&lt;=3,W_カレンダー[[#This Row],[暦年]]-1,W_カレンダー[[#This Row],[暦年]])</f>
        <v>2027</v>
      </c>
      <c r="E1520" s="1" t="str">
        <f>IF(W_カレンダー[[#This Row],[月]]&lt;=3,"Q4",IF(W_カレンダー[[#This Row],[月]]&lt;=6,"Q1",IF(W_カレンダー[[#This Row],[月]]&lt;=9,"Q2","Q3")))</f>
        <v>Q1</v>
      </c>
    </row>
    <row r="1521" spans="1:5" ht="18" customHeight="1" x14ac:dyDescent="0.25">
      <c r="A1521" s="27">
        <v>46536</v>
      </c>
      <c r="B1521" s="29">
        <f>MONTH(W_カレンダー[[#This Row],[日付]])</f>
        <v>5</v>
      </c>
      <c r="C1521" s="1">
        <f>YEAR(W_カレンダー[[#This Row],[日付]])</f>
        <v>2027</v>
      </c>
      <c r="D1521" s="1">
        <f>IF(W_カレンダー[[#This Row],[月]]&lt;=3,W_カレンダー[[#This Row],[暦年]]-1,W_カレンダー[[#This Row],[暦年]])</f>
        <v>2027</v>
      </c>
      <c r="E1521" s="1" t="str">
        <f>IF(W_カレンダー[[#This Row],[月]]&lt;=3,"Q4",IF(W_カレンダー[[#This Row],[月]]&lt;=6,"Q1",IF(W_カレンダー[[#This Row],[月]]&lt;=9,"Q2","Q3")))</f>
        <v>Q1</v>
      </c>
    </row>
    <row r="1522" spans="1:5" ht="18" customHeight="1" x14ac:dyDescent="0.25">
      <c r="A1522" s="27">
        <v>46537</v>
      </c>
      <c r="B1522" s="29">
        <f>MONTH(W_カレンダー[[#This Row],[日付]])</f>
        <v>5</v>
      </c>
      <c r="C1522" s="1">
        <f>YEAR(W_カレンダー[[#This Row],[日付]])</f>
        <v>2027</v>
      </c>
      <c r="D1522" s="1">
        <f>IF(W_カレンダー[[#This Row],[月]]&lt;=3,W_カレンダー[[#This Row],[暦年]]-1,W_カレンダー[[#This Row],[暦年]])</f>
        <v>2027</v>
      </c>
      <c r="E1522" s="1" t="str">
        <f>IF(W_カレンダー[[#This Row],[月]]&lt;=3,"Q4",IF(W_カレンダー[[#This Row],[月]]&lt;=6,"Q1",IF(W_カレンダー[[#This Row],[月]]&lt;=9,"Q2","Q3")))</f>
        <v>Q1</v>
      </c>
    </row>
    <row r="1523" spans="1:5" ht="18" customHeight="1" x14ac:dyDescent="0.25">
      <c r="A1523" s="27">
        <v>46538</v>
      </c>
      <c r="B1523" s="29">
        <f>MONTH(W_カレンダー[[#This Row],[日付]])</f>
        <v>5</v>
      </c>
      <c r="C1523" s="1">
        <f>YEAR(W_カレンダー[[#This Row],[日付]])</f>
        <v>2027</v>
      </c>
      <c r="D1523" s="1">
        <f>IF(W_カレンダー[[#This Row],[月]]&lt;=3,W_カレンダー[[#This Row],[暦年]]-1,W_カレンダー[[#This Row],[暦年]])</f>
        <v>2027</v>
      </c>
      <c r="E1523" s="1" t="str">
        <f>IF(W_カレンダー[[#This Row],[月]]&lt;=3,"Q4",IF(W_カレンダー[[#This Row],[月]]&lt;=6,"Q1",IF(W_カレンダー[[#This Row],[月]]&lt;=9,"Q2","Q3")))</f>
        <v>Q1</v>
      </c>
    </row>
    <row r="1524" spans="1:5" ht="18" customHeight="1" x14ac:dyDescent="0.25">
      <c r="A1524" s="27">
        <v>46539</v>
      </c>
      <c r="B1524" s="29">
        <f>MONTH(W_カレンダー[[#This Row],[日付]])</f>
        <v>6</v>
      </c>
      <c r="C1524" s="1">
        <f>YEAR(W_カレンダー[[#This Row],[日付]])</f>
        <v>2027</v>
      </c>
      <c r="D1524" s="1">
        <f>IF(W_カレンダー[[#This Row],[月]]&lt;=3,W_カレンダー[[#This Row],[暦年]]-1,W_カレンダー[[#This Row],[暦年]])</f>
        <v>2027</v>
      </c>
      <c r="E1524" s="1" t="str">
        <f>IF(W_カレンダー[[#This Row],[月]]&lt;=3,"Q4",IF(W_カレンダー[[#This Row],[月]]&lt;=6,"Q1",IF(W_カレンダー[[#This Row],[月]]&lt;=9,"Q2","Q3")))</f>
        <v>Q1</v>
      </c>
    </row>
    <row r="1525" spans="1:5" ht="18" customHeight="1" x14ac:dyDescent="0.25">
      <c r="A1525" s="27">
        <v>46540</v>
      </c>
      <c r="B1525" s="29">
        <f>MONTH(W_カレンダー[[#This Row],[日付]])</f>
        <v>6</v>
      </c>
      <c r="C1525" s="1">
        <f>YEAR(W_カレンダー[[#This Row],[日付]])</f>
        <v>2027</v>
      </c>
      <c r="D1525" s="1">
        <f>IF(W_カレンダー[[#This Row],[月]]&lt;=3,W_カレンダー[[#This Row],[暦年]]-1,W_カレンダー[[#This Row],[暦年]])</f>
        <v>2027</v>
      </c>
      <c r="E1525" s="1" t="str">
        <f>IF(W_カレンダー[[#This Row],[月]]&lt;=3,"Q4",IF(W_カレンダー[[#This Row],[月]]&lt;=6,"Q1",IF(W_カレンダー[[#This Row],[月]]&lt;=9,"Q2","Q3")))</f>
        <v>Q1</v>
      </c>
    </row>
    <row r="1526" spans="1:5" ht="18" customHeight="1" x14ac:dyDescent="0.25">
      <c r="A1526" s="27">
        <v>46541</v>
      </c>
      <c r="B1526" s="29">
        <f>MONTH(W_カレンダー[[#This Row],[日付]])</f>
        <v>6</v>
      </c>
      <c r="C1526" s="1">
        <f>YEAR(W_カレンダー[[#This Row],[日付]])</f>
        <v>2027</v>
      </c>
      <c r="D1526" s="1">
        <f>IF(W_カレンダー[[#This Row],[月]]&lt;=3,W_カレンダー[[#This Row],[暦年]]-1,W_カレンダー[[#This Row],[暦年]])</f>
        <v>2027</v>
      </c>
      <c r="E1526" s="1" t="str">
        <f>IF(W_カレンダー[[#This Row],[月]]&lt;=3,"Q4",IF(W_カレンダー[[#This Row],[月]]&lt;=6,"Q1",IF(W_カレンダー[[#This Row],[月]]&lt;=9,"Q2","Q3")))</f>
        <v>Q1</v>
      </c>
    </row>
    <row r="1527" spans="1:5" ht="18" customHeight="1" x14ac:dyDescent="0.25">
      <c r="A1527" s="27">
        <v>46542</v>
      </c>
      <c r="B1527" s="29">
        <f>MONTH(W_カレンダー[[#This Row],[日付]])</f>
        <v>6</v>
      </c>
      <c r="C1527" s="1">
        <f>YEAR(W_カレンダー[[#This Row],[日付]])</f>
        <v>2027</v>
      </c>
      <c r="D1527" s="1">
        <f>IF(W_カレンダー[[#This Row],[月]]&lt;=3,W_カレンダー[[#This Row],[暦年]]-1,W_カレンダー[[#This Row],[暦年]])</f>
        <v>2027</v>
      </c>
      <c r="E1527" s="1" t="str">
        <f>IF(W_カレンダー[[#This Row],[月]]&lt;=3,"Q4",IF(W_カレンダー[[#This Row],[月]]&lt;=6,"Q1",IF(W_カレンダー[[#This Row],[月]]&lt;=9,"Q2","Q3")))</f>
        <v>Q1</v>
      </c>
    </row>
    <row r="1528" spans="1:5" ht="18" customHeight="1" x14ac:dyDescent="0.25">
      <c r="A1528" s="27">
        <v>46543</v>
      </c>
      <c r="B1528" s="29">
        <f>MONTH(W_カレンダー[[#This Row],[日付]])</f>
        <v>6</v>
      </c>
      <c r="C1528" s="1">
        <f>YEAR(W_カレンダー[[#This Row],[日付]])</f>
        <v>2027</v>
      </c>
      <c r="D1528" s="1">
        <f>IF(W_カレンダー[[#This Row],[月]]&lt;=3,W_カレンダー[[#This Row],[暦年]]-1,W_カレンダー[[#This Row],[暦年]])</f>
        <v>2027</v>
      </c>
      <c r="E1528" s="1" t="str">
        <f>IF(W_カレンダー[[#This Row],[月]]&lt;=3,"Q4",IF(W_カレンダー[[#This Row],[月]]&lt;=6,"Q1",IF(W_カレンダー[[#This Row],[月]]&lt;=9,"Q2","Q3")))</f>
        <v>Q1</v>
      </c>
    </row>
    <row r="1529" spans="1:5" ht="18" customHeight="1" x14ac:dyDescent="0.25">
      <c r="A1529" s="27">
        <v>46544</v>
      </c>
      <c r="B1529" s="29">
        <f>MONTH(W_カレンダー[[#This Row],[日付]])</f>
        <v>6</v>
      </c>
      <c r="C1529" s="1">
        <f>YEAR(W_カレンダー[[#This Row],[日付]])</f>
        <v>2027</v>
      </c>
      <c r="D1529" s="1">
        <f>IF(W_カレンダー[[#This Row],[月]]&lt;=3,W_カレンダー[[#This Row],[暦年]]-1,W_カレンダー[[#This Row],[暦年]])</f>
        <v>2027</v>
      </c>
      <c r="E1529" s="1" t="str">
        <f>IF(W_カレンダー[[#This Row],[月]]&lt;=3,"Q4",IF(W_カレンダー[[#This Row],[月]]&lt;=6,"Q1",IF(W_カレンダー[[#This Row],[月]]&lt;=9,"Q2","Q3")))</f>
        <v>Q1</v>
      </c>
    </row>
    <row r="1530" spans="1:5" ht="18" customHeight="1" x14ac:dyDescent="0.25">
      <c r="A1530" s="27">
        <v>46545</v>
      </c>
      <c r="B1530" s="29">
        <f>MONTH(W_カレンダー[[#This Row],[日付]])</f>
        <v>6</v>
      </c>
      <c r="C1530" s="1">
        <f>YEAR(W_カレンダー[[#This Row],[日付]])</f>
        <v>2027</v>
      </c>
      <c r="D1530" s="1">
        <f>IF(W_カレンダー[[#This Row],[月]]&lt;=3,W_カレンダー[[#This Row],[暦年]]-1,W_カレンダー[[#This Row],[暦年]])</f>
        <v>2027</v>
      </c>
      <c r="E1530" s="1" t="str">
        <f>IF(W_カレンダー[[#This Row],[月]]&lt;=3,"Q4",IF(W_カレンダー[[#This Row],[月]]&lt;=6,"Q1",IF(W_カレンダー[[#This Row],[月]]&lt;=9,"Q2","Q3")))</f>
        <v>Q1</v>
      </c>
    </row>
    <row r="1531" spans="1:5" ht="18" customHeight="1" x14ac:dyDescent="0.25">
      <c r="A1531" s="27">
        <v>46546</v>
      </c>
      <c r="B1531" s="29">
        <f>MONTH(W_カレンダー[[#This Row],[日付]])</f>
        <v>6</v>
      </c>
      <c r="C1531" s="1">
        <f>YEAR(W_カレンダー[[#This Row],[日付]])</f>
        <v>2027</v>
      </c>
      <c r="D1531" s="1">
        <f>IF(W_カレンダー[[#This Row],[月]]&lt;=3,W_カレンダー[[#This Row],[暦年]]-1,W_カレンダー[[#This Row],[暦年]])</f>
        <v>2027</v>
      </c>
      <c r="E1531" s="1" t="str">
        <f>IF(W_カレンダー[[#This Row],[月]]&lt;=3,"Q4",IF(W_カレンダー[[#This Row],[月]]&lt;=6,"Q1",IF(W_カレンダー[[#This Row],[月]]&lt;=9,"Q2","Q3")))</f>
        <v>Q1</v>
      </c>
    </row>
    <row r="1532" spans="1:5" ht="18" customHeight="1" x14ac:dyDescent="0.25">
      <c r="A1532" s="27">
        <v>46547</v>
      </c>
      <c r="B1532" s="29">
        <f>MONTH(W_カレンダー[[#This Row],[日付]])</f>
        <v>6</v>
      </c>
      <c r="C1532" s="1">
        <f>YEAR(W_カレンダー[[#This Row],[日付]])</f>
        <v>2027</v>
      </c>
      <c r="D1532" s="1">
        <f>IF(W_カレンダー[[#This Row],[月]]&lt;=3,W_カレンダー[[#This Row],[暦年]]-1,W_カレンダー[[#This Row],[暦年]])</f>
        <v>2027</v>
      </c>
      <c r="E1532" s="1" t="str">
        <f>IF(W_カレンダー[[#This Row],[月]]&lt;=3,"Q4",IF(W_カレンダー[[#This Row],[月]]&lt;=6,"Q1",IF(W_カレンダー[[#This Row],[月]]&lt;=9,"Q2","Q3")))</f>
        <v>Q1</v>
      </c>
    </row>
    <row r="1533" spans="1:5" ht="18" customHeight="1" x14ac:dyDescent="0.25">
      <c r="A1533" s="27">
        <v>46548</v>
      </c>
      <c r="B1533" s="29">
        <f>MONTH(W_カレンダー[[#This Row],[日付]])</f>
        <v>6</v>
      </c>
      <c r="C1533" s="1">
        <f>YEAR(W_カレンダー[[#This Row],[日付]])</f>
        <v>2027</v>
      </c>
      <c r="D1533" s="1">
        <f>IF(W_カレンダー[[#This Row],[月]]&lt;=3,W_カレンダー[[#This Row],[暦年]]-1,W_カレンダー[[#This Row],[暦年]])</f>
        <v>2027</v>
      </c>
      <c r="E1533" s="1" t="str">
        <f>IF(W_カレンダー[[#This Row],[月]]&lt;=3,"Q4",IF(W_カレンダー[[#This Row],[月]]&lt;=6,"Q1",IF(W_カレンダー[[#This Row],[月]]&lt;=9,"Q2","Q3")))</f>
        <v>Q1</v>
      </c>
    </row>
    <row r="1534" spans="1:5" ht="18" customHeight="1" x14ac:dyDescent="0.25">
      <c r="A1534" s="27">
        <v>46549</v>
      </c>
      <c r="B1534" s="29">
        <f>MONTH(W_カレンダー[[#This Row],[日付]])</f>
        <v>6</v>
      </c>
      <c r="C1534" s="1">
        <f>YEAR(W_カレンダー[[#This Row],[日付]])</f>
        <v>2027</v>
      </c>
      <c r="D1534" s="1">
        <f>IF(W_カレンダー[[#This Row],[月]]&lt;=3,W_カレンダー[[#This Row],[暦年]]-1,W_カレンダー[[#This Row],[暦年]])</f>
        <v>2027</v>
      </c>
      <c r="E1534" s="1" t="str">
        <f>IF(W_カレンダー[[#This Row],[月]]&lt;=3,"Q4",IF(W_カレンダー[[#This Row],[月]]&lt;=6,"Q1",IF(W_カレンダー[[#This Row],[月]]&lt;=9,"Q2","Q3")))</f>
        <v>Q1</v>
      </c>
    </row>
    <row r="1535" spans="1:5" ht="18" customHeight="1" x14ac:dyDescent="0.25">
      <c r="A1535" s="27">
        <v>46550</v>
      </c>
      <c r="B1535" s="29">
        <f>MONTH(W_カレンダー[[#This Row],[日付]])</f>
        <v>6</v>
      </c>
      <c r="C1535" s="1">
        <f>YEAR(W_カレンダー[[#This Row],[日付]])</f>
        <v>2027</v>
      </c>
      <c r="D1535" s="1">
        <f>IF(W_カレンダー[[#This Row],[月]]&lt;=3,W_カレンダー[[#This Row],[暦年]]-1,W_カレンダー[[#This Row],[暦年]])</f>
        <v>2027</v>
      </c>
      <c r="E1535" s="1" t="str">
        <f>IF(W_カレンダー[[#This Row],[月]]&lt;=3,"Q4",IF(W_カレンダー[[#This Row],[月]]&lt;=6,"Q1",IF(W_カレンダー[[#This Row],[月]]&lt;=9,"Q2","Q3")))</f>
        <v>Q1</v>
      </c>
    </row>
    <row r="1536" spans="1:5" ht="18" customHeight="1" x14ac:dyDescent="0.25">
      <c r="A1536" s="27">
        <v>46551</v>
      </c>
      <c r="B1536" s="29">
        <f>MONTH(W_カレンダー[[#This Row],[日付]])</f>
        <v>6</v>
      </c>
      <c r="C1536" s="1">
        <f>YEAR(W_カレンダー[[#This Row],[日付]])</f>
        <v>2027</v>
      </c>
      <c r="D1536" s="1">
        <f>IF(W_カレンダー[[#This Row],[月]]&lt;=3,W_カレンダー[[#This Row],[暦年]]-1,W_カレンダー[[#This Row],[暦年]])</f>
        <v>2027</v>
      </c>
      <c r="E1536" s="1" t="str">
        <f>IF(W_カレンダー[[#This Row],[月]]&lt;=3,"Q4",IF(W_カレンダー[[#This Row],[月]]&lt;=6,"Q1",IF(W_カレンダー[[#This Row],[月]]&lt;=9,"Q2","Q3")))</f>
        <v>Q1</v>
      </c>
    </row>
    <row r="1537" spans="1:5" ht="18" customHeight="1" x14ac:dyDescent="0.25">
      <c r="A1537" s="27">
        <v>46552</v>
      </c>
      <c r="B1537" s="29">
        <f>MONTH(W_カレンダー[[#This Row],[日付]])</f>
        <v>6</v>
      </c>
      <c r="C1537" s="1">
        <f>YEAR(W_カレンダー[[#This Row],[日付]])</f>
        <v>2027</v>
      </c>
      <c r="D1537" s="1">
        <f>IF(W_カレンダー[[#This Row],[月]]&lt;=3,W_カレンダー[[#This Row],[暦年]]-1,W_カレンダー[[#This Row],[暦年]])</f>
        <v>2027</v>
      </c>
      <c r="E1537" s="1" t="str">
        <f>IF(W_カレンダー[[#This Row],[月]]&lt;=3,"Q4",IF(W_カレンダー[[#This Row],[月]]&lt;=6,"Q1",IF(W_カレンダー[[#This Row],[月]]&lt;=9,"Q2","Q3")))</f>
        <v>Q1</v>
      </c>
    </row>
    <row r="1538" spans="1:5" ht="18" customHeight="1" x14ac:dyDescent="0.25">
      <c r="A1538" s="27">
        <v>46553</v>
      </c>
      <c r="B1538" s="29">
        <f>MONTH(W_カレンダー[[#This Row],[日付]])</f>
        <v>6</v>
      </c>
      <c r="C1538" s="1">
        <f>YEAR(W_カレンダー[[#This Row],[日付]])</f>
        <v>2027</v>
      </c>
      <c r="D1538" s="1">
        <f>IF(W_カレンダー[[#This Row],[月]]&lt;=3,W_カレンダー[[#This Row],[暦年]]-1,W_カレンダー[[#This Row],[暦年]])</f>
        <v>2027</v>
      </c>
      <c r="E1538" s="1" t="str">
        <f>IF(W_カレンダー[[#This Row],[月]]&lt;=3,"Q4",IF(W_カレンダー[[#This Row],[月]]&lt;=6,"Q1",IF(W_カレンダー[[#This Row],[月]]&lt;=9,"Q2","Q3")))</f>
        <v>Q1</v>
      </c>
    </row>
    <row r="1539" spans="1:5" ht="18" customHeight="1" x14ac:dyDescent="0.25">
      <c r="A1539" s="27">
        <v>46554</v>
      </c>
      <c r="B1539" s="29">
        <f>MONTH(W_カレンダー[[#This Row],[日付]])</f>
        <v>6</v>
      </c>
      <c r="C1539" s="1">
        <f>YEAR(W_カレンダー[[#This Row],[日付]])</f>
        <v>2027</v>
      </c>
      <c r="D1539" s="1">
        <f>IF(W_カレンダー[[#This Row],[月]]&lt;=3,W_カレンダー[[#This Row],[暦年]]-1,W_カレンダー[[#This Row],[暦年]])</f>
        <v>2027</v>
      </c>
      <c r="E1539" s="1" t="str">
        <f>IF(W_カレンダー[[#This Row],[月]]&lt;=3,"Q4",IF(W_カレンダー[[#This Row],[月]]&lt;=6,"Q1",IF(W_カレンダー[[#This Row],[月]]&lt;=9,"Q2","Q3")))</f>
        <v>Q1</v>
      </c>
    </row>
    <row r="1540" spans="1:5" ht="18" customHeight="1" x14ac:dyDescent="0.25">
      <c r="A1540" s="27">
        <v>46555</v>
      </c>
      <c r="B1540" s="29">
        <f>MONTH(W_カレンダー[[#This Row],[日付]])</f>
        <v>6</v>
      </c>
      <c r="C1540" s="1">
        <f>YEAR(W_カレンダー[[#This Row],[日付]])</f>
        <v>2027</v>
      </c>
      <c r="D1540" s="1">
        <f>IF(W_カレンダー[[#This Row],[月]]&lt;=3,W_カレンダー[[#This Row],[暦年]]-1,W_カレンダー[[#This Row],[暦年]])</f>
        <v>2027</v>
      </c>
      <c r="E1540" s="1" t="str">
        <f>IF(W_カレンダー[[#This Row],[月]]&lt;=3,"Q4",IF(W_カレンダー[[#This Row],[月]]&lt;=6,"Q1",IF(W_カレンダー[[#This Row],[月]]&lt;=9,"Q2","Q3")))</f>
        <v>Q1</v>
      </c>
    </row>
    <row r="1541" spans="1:5" ht="18" customHeight="1" x14ac:dyDescent="0.25">
      <c r="A1541" s="27">
        <v>46556</v>
      </c>
      <c r="B1541" s="29">
        <f>MONTH(W_カレンダー[[#This Row],[日付]])</f>
        <v>6</v>
      </c>
      <c r="C1541" s="1">
        <f>YEAR(W_カレンダー[[#This Row],[日付]])</f>
        <v>2027</v>
      </c>
      <c r="D1541" s="1">
        <f>IF(W_カレンダー[[#This Row],[月]]&lt;=3,W_カレンダー[[#This Row],[暦年]]-1,W_カレンダー[[#This Row],[暦年]])</f>
        <v>2027</v>
      </c>
      <c r="E1541" s="1" t="str">
        <f>IF(W_カレンダー[[#This Row],[月]]&lt;=3,"Q4",IF(W_カレンダー[[#This Row],[月]]&lt;=6,"Q1",IF(W_カレンダー[[#This Row],[月]]&lt;=9,"Q2","Q3")))</f>
        <v>Q1</v>
      </c>
    </row>
    <row r="1542" spans="1:5" ht="18" customHeight="1" x14ac:dyDescent="0.25">
      <c r="A1542" s="27">
        <v>46557</v>
      </c>
      <c r="B1542" s="29">
        <f>MONTH(W_カレンダー[[#This Row],[日付]])</f>
        <v>6</v>
      </c>
      <c r="C1542" s="1">
        <f>YEAR(W_カレンダー[[#This Row],[日付]])</f>
        <v>2027</v>
      </c>
      <c r="D1542" s="1">
        <f>IF(W_カレンダー[[#This Row],[月]]&lt;=3,W_カレンダー[[#This Row],[暦年]]-1,W_カレンダー[[#This Row],[暦年]])</f>
        <v>2027</v>
      </c>
      <c r="E1542" s="1" t="str">
        <f>IF(W_カレンダー[[#This Row],[月]]&lt;=3,"Q4",IF(W_カレンダー[[#This Row],[月]]&lt;=6,"Q1",IF(W_カレンダー[[#This Row],[月]]&lt;=9,"Q2","Q3")))</f>
        <v>Q1</v>
      </c>
    </row>
    <row r="1543" spans="1:5" ht="18" customHeight="1" x14ac:dyDescent="0.25">
      <c r="A1543" s="27">
        <v>46558</v>
      </c>
      <c r="B1543" s="29">
        <f>MONTH(W_カレンダー[[#This Row],[日付]])</f>
        <v>6</v>
      </c>
      <c r="C1543" s="1">
        <f>YEAR(W_カレンダー[[#This Row],[日付]])</f>
        <v>2027</v>
      </c>
      <c r="D1543" s="1">
        <f>IF(W_カレンダー[[#This Row],[月]]&lt;=3,W_カレンダー[[#This Row],[暦年]]-1,W_カレンダー[[#This Row],[暦年]])</f>
        <v>2027</v>
      </c>
      <c r="E1543" s="1" t="str">
        <f>IF(W_カレンダー[[#This Row],[月]]&lt;=3,"Q4",IF(W_カレンダー[[#This Row],[月]]&lt;=6,"Q1",IF(W_カレンダー[[#This Row],[月]]&lt;=9,"Q2","Q3")))</f>
        <v>Q1</v>
      </c>
    </row>
    <row r="1544" spans="1:5" ht="18" customHeight="1" x14ac:dyDescent="0.25">
      <c r="A1544" s="27">
        <v>46559</v>
      </c>
      <c r="B1544" s="29">
        <f>MONTH(W_カレンダー[[#This Row],[日付]])</f>
        <v>6</v>
      </c>
      <c r="C1544" s="1">
        <f>YEAR(W_カレンダー[[#This Row],[日付]])</f>
        <v>2027</v>
      </c>
      <c r="D1544" s="1">
        <f>IF(W_カレンダー[[#This Row],[月]]&lt;=3,W_カレンダー[[#This Row],[暦年]]-1,W_カレンダー[[#This Row],[暦年]])</f>
        <v>2027</v>
      </c>
      <c r="E1544" s="1" t="str">
        <f>IF(W_カレンダー[[#This Row],[月]]&lt;=3,"Q4",IF(W_カレンダー[[#This Row],[月]]&lt;=6,"Q1",IF(W_カレンダー[[#This Row],[月]]&lt;=9,"Q2","Q3")))</f>
        <v>Q1</v>
      </c>
    </row>
    <row r="1545" spans="1:5" ht="18" customHeight="1" x14ac:dyDescent="0.25">
      <c r="A1545" s="27">
        <v>46560</v>
      </c>
      <c r="B1545" s="29">
        <f>MONTH(W_カレンダー[[#This Row],[日付]])</f>
        <v>6</v>
      </c>
      <c r="C1545" s="1">
        <f>YEAR(W_カレンダー[[#This Row],[日付]])</f>
        <v>2027</v>
      </c>
      <c r="D1545" s="1">
        <f>IF(W_カレンダー[[#This Row],[月]]&lt;=3,W_カレンダー[[#This Row],[暦年]]-1,W_カレンダー[[#This Row],[暦年]])</f>
        <v>2027</v>
      </c>
      <c r="E1545" s="1" t="str">
        <f>IF(W_カレンダー[[#This Row],[月]]&lt;=3,"Q4",IF(W_カレンダー[[#This Row],[月]]&lt;=6,"Q1",IF(W_カレンダー[[#This Row],[月]]&lt;=9,"Q2","Q3")))</f>
        <v>Q1</v>
      </c>
    </row>
    <row r="1546" spans="1:5" ht="18" customHeight="1" x14ac:dyDescent="0.25">
      <c r="A1546" s="27">
        <v>46561</v>
      </c>
      <c r="B1546" s="29">
        <f>MONTH(W_カレンダー[[#This Row],[日付]])</f>
        <v>6</v>
      </c>
      <c r="C1546" s="1">
        <f>YEAR(W_カレンダー[[#This Row],[日付]])</f>
        <v>2027</v>
      </c>
      <c r="D1546" s="1">
        <f>IF(W_カレンダー[[#This Row],[月]]&lt;=3,W_カレンダー[[#This Row],[暦年]]-1,W_カレンダー[[#This Row],[暦年]])</f>
        <v>2027</v>
      </c>
      <c r="E1546" s="1" t="str">
        <f>IF(W_カレンダー[[#This Row],[月]]&lt;=3,"Q4",IF(W_カレンダー[[#This Row],[月]]&lt;=6,"Q1",IF(W_カレンダー[[#This Row],[月]]&lt;=9,"Q2","Q3")))</f>
        <v>Q1</v>
      </c>
    </row>
    <row r="1547" spans="1:5" ht="18" customHeight="1" x14ac:dyDescent="0.25">
      <c r="A1547" s="27">
        <v>46562</v>
      </c>
      <c r="B1547" s="29">
        <f>MONTH(W_カレンダー[[#This Row],[日付]])</f>
        <v>6</v>
      </c>
      <c r="C1547" s="1">
        <f>YEAR(W_カレンダー[[#This Row],[日付]])</f>
        <v>2027</v>
      </c>
      <c r="D1547" s="1">
        <f>IF(W_カレンダー[[#This Row],[月]]&lt;=3,W_カレンダー[[#This Row],[暦年]]-1,W_カレンダー[[#This Row],[暦年]])</f>
        <v>2027</v>
      </c>
      <c r="E1547" s="1" t="str">
        <f>IF(W_カレンダー[[#This Row],[月]]&lt;=3,"Q4",IF(W_カレンダー[[#This Row],[月]]&lt;=6,"Q1",IF(W_カレンダー[[#This Row],[月]]&lt;=9,"Q2","Q3")))</f>
        <v>Q1</v>
      </c>
    </row>
    <row r="1548" spans="1:5" ht="18" customHeight="1" x14ac:dyDescent="0.25">
      <c r="A1548" s="27">
        <v>46563</v>
      </c>
      <c r="B1548" s="29">
        <f>MONTH(W_カレンダー[[#This Row],[日付]])</f>
        <v>6</v>
      </c>
      <c r="C1548" s="1">
        <f>YEAR(W_カレンダー[[#This Row],[日付]])</f>
        <v>2027</v>
      </c>
      <c r="D1548" s="1">
        <f>IF(W_カレンダー[[#This Row],[月]]&lt;=3,W_カレンダー[[#This Row],[暦年]]-1,W_カレンダー[[#This Row],[暦年]])</f>
        <v>2027</v>
      </c>
      <c r="E1548" s="1" t="str">
        <f>IF(W_カレンダー[[#This Row],[月]]&lt;=3,"Q4",IF(W_カレンダー[[#This Row],[月]]&lt;=6,"Q1",IF(W_カレンダー[[#This Row],[月]]&lt;=9,"Q2","Q3")))</f>
        <v>Q1</v>
      </c>
    </row>
    <row r="1549" spans="1:5" ht="18" customHeight="1" x14ac:dyDescent="0.25">
      <c r="A1549" s="27">
        <v>46564</v>
      </c>
      <c r="B1549" s="29">
        <f>MONTH(W_カレンダー[[#This Row],[日付]])</f>
        <v>6</v>
      </c>
      <c r="C1549" s="1">
        <f>YEAR(W_カレンダー[[#This Row],[日付]])</f>
        <v>2027</v>
      </c>
      <c r="D1549" s="1">
        <f>IF(W_カレンダー[[#This Row],[月]]&lt;=3,W_カレンダー[[#This Row],[暦年]]-1,W_カレンダー[[#This Row],[暦年]])</f>
        <v>2027</v>
      </c>
      <c r="E1549" s="1" t="str">
        <f>IF(W_カレンダー[[#This Row],[月]]&lt;=3,"Q4",IF(W_カレンダー[[#This Row],[月]]&lt;=6,"Q1",IF(W_カレンダー[[#This Row],[月]]&lt;=9,"Q2","Q3")))</f>
        <v>Q1</v>
      </c>
    </row>
    <row r="1550" spans="1:5" ht="18" customHeight="1" x14ac:dyDescent="0.25">
      <c r="A1550" s="27">
        <v>46565</v>
      </c>
      <c r="B1550" s="29">
        <f>MONTH(W_カレンダー[[#This Row],[日付]])</f>
        <v>6</v>
      </c>
      <c r="C1550" s="1">
        <f>YEAR(W_カレンダー[[#This Row],[日付]])</f>
        <v>2027</v>
      </c>
      <c r="D1550" s="1">
        <f>IF(W_カレンダー[[#This Row],[月]]&lt;=3,W_カレンダー[[#This Row],[暦年]]-1,W_カレンダー[[#This Row],[暦年]])</f>
        <v>2027</v>
      </c>
      <c r="E1550" s="1" t="str">
        <f>IF(W_カレンダー[[#This Row],[月]]&lt;=3,"Q4",IF(W_カレンダー[[#This Row],[月]]&lt;=6,"Q1",IF(W_カレンダー[[#This Row],[月]]&lt;=9,"Q2","Q3")))</f>
        <v>Q1</v>
      </c>
    </row>
    <row r="1551" spans="1:5" ht="18" customHeight="1" x14ac:dyDescent="0.25">
      <c r="A1551" s="27">
        <v>46566</v>
      </c>
      <c r="B1551" s="29">
        <f>MONTH(W_カレンダー[[#This Row],[日付]])</f>
        <v>6</v>
      </c>
      <c r="C1551" s="1">
        <f>YEAR(W_カレンダー[[#This Row],[日付]])</f>
        <v>2027</v>
      </c>
      <c r="D1551" s="1">
        <f>IF(W_カレンダー[[#This Row],[月]]&lt;=3,W_カレンダー[[#This Row],[暦年]]-1,W_カレンダー[[#This Row],[暦年]])</f>
        <v>2027</v>
      </c>
      <c r="E1551" s="1" t="str">
        <f>IF(W_カレンダー[[#This Row],[月]]&lt;=3,"Q4",IF(W_カレンダー[[#This Row],[月]]&lt;=6,"Q1",IF(W_カレンダー[[#This Row],[月]]&lt;=9,"Q2","Q3")))</f>
        <v>Q1</v>
      </c>
    </row>
    <row r="1552" spans="1:5" ht="18" customHeight="1" x14ac:dyDescent="0.25">
      <c r="A1552" s="27">
        <v>46567</v>
      </c>
      <c r="B1552" s="29">
        <f>MONTH(W_カレンダー[[#This Row],[日付]])</f>
        <v>6</v>
      </c>
      <c r="C1552" s="1">
        <f>YEAR(W_カレンダー[[#This Row],[日付]])</f>
        <v>2027</v>
      </c>
      <c r="D1552" s="1">
        <f>IF(W_カレンダー[[#This Row],[月]]&lt;=3,W_カレンダー[[#This Row],[暦年]]-1,W_カレンダー[[#This Row],[暦年]])</f>
        <v>2027</v>
      </c>
      <c r="E1552" s="1" t="str">
        <f>IF(W_カレンダー[[#This Row],[月]]&lt;=3,"Q4",IF(W_カレンダー[[#This Row],[月]]&lt;=6,"Q1",IF(W_カレンダー[[#This Row],[月]]&lt;=9,"Q2","Q3")))</f>
        <v>Q1</v>
      </c>
    </row>
    <row r="1553" spans="1:5" ht="18" customHeight="1" x14ac:dyDescent="0.25">
      <c r="A1553" s="27">
        <v>46568</v>
      </c>
      <c r="B1553" s="29">
        <f>MONTH(W_カレンダー[[#This Row],[日付]])</f>
        <v>6</v>
      </c>
      <c r="C1553" s="1">
        <f>YEAR(W_カレンダー[[#This Row],[日付]])</f>
        <v>2027</v>
      </c>
      <c r="D1553" s="1">
        <f>IF(W_カレンダー[[#This Row],[月]]&lt;=3,W_カレンダー[[#This Row],[暦年]]-1,W_カレンダー[[#This Row],[暦年]])</f>
        <v>2027</v>
      </c>
      <c r="E1553" s="1" t="str">
        <f>IF(W_カレンダー[[#This Row],[月]]&lt;=3,"Q4",IF(W_カレンダー[[#This Row],[月]]&lt;=6,"Q1",IF(W_カレンダー[[#This Row],[月]]&lt;=9,"Q2","Q3")))</f>
        <v>Q1</v>
      </c>
    </row>
    <row r="1554" spans="1:5" ht="18" customHeight="1" x14ac:dyDescent="0.25">
      <c r="A1554" s="27">
        <v>46569</v>
      </c>
      <c r="B1554" s="29">
        <f>MONTH(W_カレンダー[[#This Row],[日付]])</f>
        <v>7</v>
      </c>
      <c r="C1554" s="1">
        <f>YEAR(W_カレンダー[[#This Row],[日付]])</f>
        <v>2027</v>
      </c>
      <c r="D1554" s="1">
        <f>IF(W_カレンダー[[#This Row],[月]]&lt;=3,W_カレンダー[[#This Row],[暦年]]-1,W_カレンダー[[#This Row],[暦年]])</f>
        <v>2027</v>
      </c>
      <c r="E1554" s="1" t="str">
        <f>IF(W_カレンダー[[#This Row],[月]]&lt;=3,"Q4",IF(W_カレンダー[[#This Row],[月]]&lt;=6,"Q1",IF(W_カレンダー[[#This Row],[月]]&lt;=9,"Q2","Q3")))</f>
        <v>Q2</v>
      </c>
    </row>
    <row r="1555" spans="1:5" ht="18" customHeight="1" x14ac:dyDescent="0.25">
      <c r="A1555" s="27">
        <v>46570</v>
      </c>
      <c r="B1555" s="29">
        <f>MONTH(W_カレンダー[[#This Row],[日付]])</f>
        <v>7</v>
      </c>
      <c r="C1555" s="1">
        <f>YEAR(W_カレンダー[[#This Row],[日付]])</f>
        <v>2027</v>
      </c>
      <c r="D1555" s="1">
        <f>IF(W_カレンダー[[#This Row],[月]]&lt;=3,W_カレンダー[[#This Row],[暦年]]-1,W_カレンダー[[#This Row],[暦年]])</f>
        <v>2027</v>
      </c>
      <c r="E1555" s="1" t="str">
        <f>IF(W_カレンダー[[#This Row],[月]]&lt;=3,"Q4",IF(W_カレンダー[[#This Row],[月]]&lt;=6,"Q1",IF(W_カレンダー[[#This Row],[月]]&lt;=9,"Q2","Q3")))</f>
        <v>Q2</v>
      </c>
    </row>
    <row r="1556" spans="1:5" ht="18" customHeight="1" x14ac:dyDescent="0.25">
      <c r="A1556" s="27">
        <v>46571</v>
      </c>
      <c r="B1556" s="29">
        <f>MONTH(W_カレンダー[[#This Row],[日付]])</f>
        <v>7</v>
      </c>
      <c r="C1556" s="1">
        <f>YEAR(W_カレンダー[[#This Row],[日付]])</f>
        <v>2027</v>
      </c>
      <c r="D1556" s="1">
        <f>IF(W_カレンダー[[#This Row],[月]]&lt;=3,W_カレンダー[[#This Row],[暦年]]-1,W_カレンダー[[#This Row],[暦年]])</f>
        <v>2027</v>
      </c>
      <c r="E1556" s="1" t="str">
        <f>IF(W_カレンダー[[#This Row],[月]]&lt;=3,"Q4",IF(W_カレンダー[[#This Row],[月]]&lt;=6,"Q1",IF(W_カレンダー[[#This Row],[月]]&lt;=9,"Q2","Q3")))</f>
        <v>Q2</v>
      </c>
    </row>
    <row r="1557" spans="1:5" ht="18" customHeight="1" x14ac:dyDescent="0.25">
      <c r="A1557" s="27">
        <v>46572</v>
      </c>
      <c r="B1557" s="29">
        <f>MONTH(W_カレンダー[[#This Row],[日付]])</f>
        <v>7</v>
      </c>
      <c r="C1557" s="1">
        <f>YEAR(W_カレンダー[[#This Row],[日付]])</f>
        <v>2027</v>
      </c>
      <c r="D1557" s="1">
        <f>IF(W_カレンダー[[#This Row],[月]]&lt;=3,W_カレンダー[[#This Row],[暦年]]-1,W_カレンダー[[#This Row],[暦年]])</f>
        <v>2027</v>
      </c>
      <c r="E1557" s="1" t="str">
        <f>IF(W_カレンダー[[#This Row],[月]]&lt;=3,"Q4",IF(W_カレンダー[[#This Row],[月]]&lt;=6,"Q1",IF(W_カレンダー[[#This Row],[月]]&lt;=9,"Q2","Q3")))</f>
        <v>Q2</v>
      </c>
    </row>
    <row r="1558" spans="1:5" ht="18" customHeight="1" x14ac:dyDescent="0.25">
      <c r="A1558" s="27">
        <v>46573</v>
      </c>
      <c r="B1558" s="29">
        <f>MONTH(W_カレンダー[[#This Row],[日付]])</f>
        <v>7</v>
      </c>
      <c r="C1558" s="1">
        <f>YEAR(W_カレンダー[[#This Row],[日付]])</f>
        <v>2027</v>
      </c>
      <c r="D1558" s="1">
        <f>IF(W_カレンダー[[#This Row],[月]]&lt;=3,W_カレンダー[[#This Row],[暦年]]-1,W_カレンダー[[#This Row],[暦年]])</f>
        <v>2027</v>
      </c>
      <c r="E1558" s="1" t="str">
        <f>IF(W_カレンダー[[#This Row],[月]]&lt;=3,"Q4",IF(W_カレンダー[[#This Row],[月]]&lt;=6,"Q1",IF(W_カレンダー[[#This Row],[月]]&lt;=9,"Q2","Q3")))</f>
        <v>Q2</v>
      </c>
    </row>
    <row r="1559" spans="1:5" ht="18" customHeight="1" x14ac:dyDescent="0.25">
      <c r="A1559" s="27">
        <v>46574</v>
      </c>
      <c r="B1559" s="29">
        <f>MONTH(W_カレンダー[[#This Row],[日付]])</f>
        <v>7</v>
      </c>
      <c r="C1559" s="1">
        <f>YEAR(W_カレンダー[[#This Row],[日付]])</f>
        <v>2027</v>
      </c>
      <c r="D1559" s="1">
        <f>IF(W_カレンダー[[#This Row],[月]]&lt;=3,W_カレンダー[[#This Row],[暦年]]-1,W_カレンダー[[#This Row],[暦年]])</f>
        <v>2027</v>
      </c>
      <c r="E1559" s="1" t="str">
        <f>IF(W_カレンダー[[#This Row],[月]]&lt;=3,"Q4",IF(W_カレンダー[[#This Row],[月]]&lt;=6,"Q1",IF(W_カレンダー[[#This Row],[月]]&lt;=9,"Q2","Q3")))</f>
        <v>Q2</v>
      </c>
    </row>
    <row r="1560" spans="1:5" ht="18" customHeight="1" x14ac:dyDescent="0.25">
      <c r="A1560" s="27">
        <v>46575</v>
      </c>
      <c r="B1560" s="29">
        <f>MONTH(W_カレンダー[[#This Row],[日付]])</f>
        <v>7</v>
      </c>
      <c r="C1560" s="1">
        <f>YEAR(W_カレンダー[[#This Row],[日付]])</f>
        <v>2027</v>
      </c>
      <c r="D1560" s="1">
        <f>IF(W_カレンダー[[#This Row],[月]]&lt;=3,W_カレンダー[[#This Row],[暦年]]-1,W_カレンダー[[#This Row],[暦年]])</f>
        <v>2027</v>
      </c>
      <c r="E1560" s="1" t="str">
        <f>IF(W_カレンダー[[#This Row],[月]]&lt;=3,"Q4",IF(W_カレンダー[[#This Row],[月]]&lt;=6,"Q1",IF(W_カレンダー[[#This Row],[月]]&lt;=9,"Q2","Q3")))</f>
        <v>Q2</v>
      </c>
    </row>
    <row r="1561" spans="1:5" ht="18" customHeight="1" x14ac:dyDescent="0.25">
      <c r="A1561" s="27">
        <v>46576</v>
      </c>
      <c r="B1561" s="29">
        <f>MONTH(W_カレンダー[[#This Row],[日付]])</f>
        <v>7</v>
      </c>
      <c r="C1561" s="1">
        <f>YEAR(W_カレンダー[[#This Row],[日付]])</f>
        <v>2027</v>
      </c>
      <c r="D1561" s="1">
        <f>IF(W_カレンダー[[#This Row],[月]]&lt;=3,W_カレンダー[[#This Row],[暦年]]-1,W_カレンダー[[#This Row],[暦年]])</f>
        <v>2027</v>
      </c>
      <c r="E1561" s="1" t="str">
        <f>IF(W_カレンダー[[#This Row],[月]]&lt;=3,"Q4",IF(W_カレンダー[[#This Row],[月]]&lt;=6,"Q1",IF(W_カレンダー[[#This Row],[月]]&lt;=9,"Q2","Q3")))</f>
        <v>Q2</v>
      </c>
    </row>
    <row r="1562" spans="1:5" ht="18" customHeight="1" x14ac:dyDescent="0.25">
      <c r="A1562" s="27">
        <v>46577</v>
      </c>
      <c r="B1562" s="29">
        <f>MONTH(W_カレンダー[[#This Row],[日付]])</f>
        <v>7</v>
      </c>
      <c r="C1562" s="1">
        <f>YEAR(W_カレンダー[[#This Row],[日付]])</f>
        <v>2027</v>
      </c>
      <c r="D1562" s="1">
        <f>IF(W_カレンダー[[#This Row],[月]]&lt;=3,W_カレンダー[[#This Row],[暦年]]-1,W_カレンダー[[#This Row],[暦年]])</f>
        <v>2027</v>
      </c>
      <c r="E1562" s="1" t="str">
        <f>IF(W_カレンダー[[#This Row],[月]]&lt;=3,"Q4",IF(W_カレンダー[[#This Row],[月]]&lt;=6,"Q1",IF(W_カレンダー[[#This Row],[月]]&lt;=9,"Q2","Q3")))</f>
        <v>Q2</v>
      </c>
    </row>
    <row r="1563" spans="1:5" ht="18" customHeight="1" x14ac:dyDescent="0.25">
      <c r="A1563" s="27">
        <v>46578</v>
      </c>
      <c r="B1563" s="29">
        <f>MONTH(W_カレンダー[[#This Row],[日付]])</f>
        <v>7</v>
      </c>
      <c r="C1563" s="1">
        <f>YEAR(W_カレンダー[[#This Row],[日付]])</f>
        <v>2027</v>
      </c>
      <c r="D1563" s="1">
        <f>IF(W_カレンダー[[#This Row],[月]]&lt;=3,W_カレンダー[[#This Row],[暦年]]-1,W_カレンダー[[#This Row],[暦年]])</f>
        <v>2027</v>
      </c>
      <c r="E1563" s="1" t="str">
        <f>IF(W_カレンダー[[#This Row],[月]]&lt;=3,"Q4",IF(W_カレンダー[[#This Row],[月]]&lt;=6,"Q1",IF(W_カレンダー[[#This Row],[月]]&lt;=9,"Q2","Q3")))</f>
        <v>Q2</v>
      </c>
    </row>
    <row r="1564" spans="1:5" ht="18" customHeight="1" x14ac:dyDescent="0.25">
      <c r="A1564" s="27">
        <v>46579</v>
      </c>
      <c r="B1564" s="29">
        <f>MONTH(W_カレンダー[[#This Row],[日付]])</f>
        <v>7</v>
      </c>
      <c r="C1564" s="1">
        <f>YEAR(W_カレンダー[[#This Row],[日付]])</f>
        <v>2027</v>
      </c>
      <c r="D1564" s="1">
        <f>IF(W_カレンダー[[#This Row],[月]]&lt;=3,W_カレンダー[[#This Row],[暦年]]-1,W_カレンダー[[#This Row],[暦年]])</f>
        <v>2027</v>
      </c>
      <c r="E1564" s="1" t="str">
        <f>IF(W_カレンダー[[#This Row],[月]]&lt;=3,"Q4",IF(W_カレンダー[[#This Row],[月]]&lt;=6,"Q1",IF(W_カレンダー[[#This Row],[月]]&lt;=9,"Q2","Q3")))</f>
        <v>Q2</v>
      </c>
    </row>
    <row r="1565" spans="1:5" ht="18" customHeight="1" x14ac:dyDescent="0.25">
      <c r="A1565" s="27">
        <v>46580</v>
      </c>
      <c r="B1565" s="29">
        <f>MONTH(W_カレンダー[[#This Row],[日付]])</f>
        <v>7</v>
      </c>
      <c r="C1565" s="1">
        <f>YEAR(W_カレンダー[[#This Row],[日付]])</f>
        <v>2027</v>
      </c>
      <c r="D1565" s="1">
        <f>IF(W_カレンダー[[#This Row],[月]]&lt;=3,W_カレンダー[[#This Row],[暦年]]-1,W_カレンダー[[#This Row],[暦年]])</f>
        <v>2027</v>
      </c>
      <c r="E1565" s="1" t="str">
        <f>IF(W_カレンダー[[#This Row],[月]]&lt;=3,"Q4",IF(W_カレンダー[[#This Row],[月]]&lt;=6,"Q1",IF(W_カレンダー[[#This Row],[月]]&lt;=9,"Q2","Q3")))</f>
        <v>Q2</v>
      </c>
    </row>
    <row r="1566" spans="1:5" ht="18" customHeight="1" x14ac:dyDescent="0.25">
      <c r="A1566" s="27">
        <v>46581</v>
      </c>
      <c r="B1566" s="29">
        <f>MONTH(W_カレンダー[[#This Row],[日付]])</f>
        <v>7</v>
      </c>
      <c r="C1566" s="1">
        <f>YEAR(W_カレンダー[[#This Row],[日付]])</f>
        <v>2027</v>
      </c>
      <c r="D1566" s="1">
        <f>IF(W_カレンダー[[#This Row],[月]]&lt;=3,W_カレンダー[[#This Row],[暦年]]-1,W_カレンダー[[#This Row],[暦年]])</f>
        <v>2027</v>
      </c>
      <c r="E1566" s="1" t="str">
        <f>IF(W_カレンダー[[#This Row],[月]]&lt;=3,"Q4",IF(W_カレンダー[[#This Row],[月]]&lt;=6,"Q1",IF(W_カレンダー[[#This Row],[月]]&lt;=9,"Q2","Q3")))</f>
        <v>Q2</v>
      </c>
    </row>
    <row r="1567" spans="1:5" ht="18" customHeight="1" x14ac:dyDescent="0.25">
      <c r="A1567" s="27">
        <v>46582</v>
      </c>
      <c r="B1567" s="29">
        <f>MONTH(W_カレンダー[[#This Row],[日付]])</f>
        <v>7</v>
      </c>
      <c r="C1567" s="1">
        <f>YEAR(W_カレンダー[[#This Row],[日付]])</f>
        <v>2027</v>
      </c>
      <c r="D1567" s="1">
        <f>IF(W_カレンダー[[#This Row],[月]]&lt;=3,W_カレンダー[[#This Row],[暦年]]-1,W_カレンダー[[#This Row],[暦年]])</f>
        <v>2027</v>
      </c>
      <c r="E1567" s="1" t="str">
        <f>IF(W_カレンダー[[#This Row],[月]]&lt;=3,"Q4",IF(W_カレンダー[[#This Row],[月]]&lt;=6,"Q1",IF(W_カレンダー[[#This Row],[月]]&lt;=9,"Q2","Q3")))</f>
        <v>Q2</v>
      </c>
    </row>
    <row r="1568" spans="1:5" ht="18" customHeight="1" x14ac:dyDescent="0.25">
      <c r="A1568" s="27">
        <v>46583</v>
      </c>
      <c r="B1568" s="29">
        <f>MONTH(W_カレンダー[[#This Row],[日付]])</f>
        <v>7</v>
      </c>
      <c r="C1568" s="1">
        <f>YEAR(W_カレンダー[[#This Row],[日付]])</f>
        <v>2027</v>
      </c>
      <c r="D1568" s="1">
        <f>IF(W_カレンダー[[#This Row],[月]]&lt;=3,W_カレンダー[[#This Row],[暦年]]-1,W_カレンダー[[#This Row],[暦年]])</f>
        <v>2027</v>
      </c>
      <c r="E1568" s="1" t="str">
        <f>IF(W_カレンダー[[#This Row],[月]]&lt;=3,"Q4",IF(W_カレンダー[[#This Row],[月]]&lt;=6,"Q1",IF(W_カレンダー[[#This Row],[月]]&lt;=9,"Q2","Q3")))</f>
        <v>Q2</v>
      </c>
    </row>
    <row r="1569" spans="1:5" ht="18" customHeight="1" x14ac:dyDescent="0.25">
      <c r="A1569" s="27">
        <v>46584</v>
      </c>
      <c r="B1569" s="29">
        <f>MONTH(W_カレンダー[[#This Row],[日付]])</f>
        <v>7</v>
      </c>
      <c r="C1569" s="1">
        <f>YEAR(W_カレンダー[[#This Row],[日付]])</f>
        <v>2027</v>
      </c>
      <c r="D1569" s="1">
        <f>IF(W_カレンダー[[#This Row],[月]]&lt;=3,W_カレンダー[[#This Row],[暦年]]-1,W_カレンダー[[#This Row],[暦年]])</f>
        <v>2027</v>
      </c>
      <c r="E1569" s="1" t="str">
        <f>IF(W_カレンダー[[#This Row],[月]]&lt;=3,"Q4",IF(W_カレンダー[[#This Row],[月]]&lt;=6,"Q1",IF(W_カレンダー[[#This Row],[月]]&lt;=9,"Q2","Q3")))</f>
        <v>Q2</v>
      </c>
    </row>
    <row r="1570" spans="1:5" ht="18" customHeight="1" x14ac:dyDescent="0.25">
      <c r="A1570" s="27">
        <v>46585</v>
      </c>
      <c r="B1570" s="29">
        <f>MONTH(W_カレンダー[[#This Row],[日付]])</f>
        <v>7</v>
      </c>
      <c r="C1570" s="1">
        <f>YEAR(W_カレンダー[[#This Row],[日付]])</f>
        <v>2027</v>
      </c>
      <c r="D1570" s="1">
        <f>IF(W_カレンダー[[#This Row],[月]]&lt;=3,W_カレンダー[[#This Row],[暦年]]-1,W_カレンダー[[#This Row],[暦年]])</f>
        <v>2027</v>
      </c>
      <c r="E1570" s="1" t="str">
        <f>IF(W_カレンダー[[#This Row],[月]]&lt;=3,"Q4",IF(W_カレンダー[[#This Row],[月]]&lt;=6,"Q1",IF(W_カレンダー[[#This Row],[月]]&lt;=9,"Q2","Q3")))</f>
        <v>Q2</v>
      </c>
    </row>
    <row r="1571" spans="1:5" ht="18" customHeight="1" x14ac:dyDescent="0.25">
      <c r="A1571" s="27">
        <v>46586</v>
      </c>
      <c r="B1571" s="29">
        <f>MONTH(W_カレンダー[[#This Row],[日付]])</f>
        <v>7</v>
      </c>
      <c r="C1571" s="1">
        <f>YEAR(W_カレンダー[[#This Row],[日付]])</f>
        <v>2027</v>
      </c>
      <c r="D1571" s="1">
        <f>IF(W_カレンダー[[#This Row],[月]]&lt;=3,W_カレンダー[[#This Row],[暦年]]-1,W_カレンダー[[#This Row],[暦年]])</f>
        <v>2027</v>
      </c>
      <c r="E1571" s="1" t="str">
        <f>IF(W_カレンダー[[#This Row],[月]]&lt;=3,"Q4",IF(W_カレンダー[[#This Row],[月]]&lt;=6,"Q1",IF(W_カレンダー[[#This Row],[月]]&lt;=9,"Q2","Q3")))</f>
        <v>Q2</v>
      </c>
    </row>
    <row r="1572" spans="1:5" ht="18" customHeight="1" x14ac:dyDescent="0.25">
      <c r="A1572" s="27">
        <v>46587</v>
      </c>
      <c r="B1572" s="29">
        <f>MONTH(W_カレンダー[[#This Row],[日付]])</f>
        <v>7</v>
      </c>
      <c r="C1572" s="1">
        <f>YEAR(W_カレンダー[[#This Row],[日付]])</f>
        <v>2027</v>
      </c>
      <c r="D1572" s="1">
        <f>IF(W_カレンダー[[#This Row],[月]]&lt;=3,W_カレンダー[[#This Row],[暦年]]-1,W_カレンダー[[#This Row],[暦年]])</f>
        <v>2027</v>
      </c>
      <c r="E1572" s="1" t="str">
        <f>IF(W_カレンダー[[#This Row],[月]]&lt;=3,"Q4",IF(W_カレンダー[[#This Row],[月]]&lt;=6,"Q1",IF(W_カレンダー[[#This Row],[月]]&lt;=9,"Q2","Q3")))</f>
        <v>Q2</v>
      </c>
    </row>
    <row r="1573" spans="1:5" ht="18" customHeight="1" x14ac:dyDescent="0.25">
      <c r="A1573" s="27">
        <v>46588</v>
      </c>
      <c r="B1573" s="29">
        <f>MONTH(W_カレンダー[[#This Row],[日付]])</f>
        <v>7</v>
      </c>
      <c r="C1573" s="1">
        <f>YEAR(W_カレンダー[[#This Row],[日付]])</f>
        <v>2027</v>
      </c>
      <c r="D1573" s="1">
        <f>IF(W_カレンダー[[#This Row],[月]]&lt;=3,W_カレンダー[[#This Row],[暦年]]-1,W_カレンダー[[#This Row],[暦年]])</f>
        <v>2027</v>
      </c>
      <c r="E1573" s="1" t="str">
        <f>IF(W_カレンダー[[#This Row],[月]]&lt;=3,"Q4",IF(W_カレンダー[[#This Row],[月]]&lt;=6,"Q1",IF(W_カレンダー[[#This Row],[月]]&lt;=9,"Q2","Q3")))</f>
        <v>Q2</v>
      </c>
    </row>
    <row r="1574" spans="1:5" ht="18" customHeight="1" x14ac:dyDescent="0.25">
      <c r="A1574" s="27">
        <v>46589</v>
      </c>
      <c r="B1574" s="29">
        <f>MONTH(W_カレンダー[[#This Row],[日付]])</f>
        <v>7</v>
      </c>
      <c r="C1574" s="1">
        <f>YEAR(W_カレンダー[[#This Row],[日付]])</f>
        <v>2027</v>
      </c>
      <c r="D1574" s="1">
        <f>IF(W_カレンダー[[#This Row],[月]]&lt;=3,W_カレンダー[[#This Row],[暦年]]-1,W_カレンダー[[#This Row],[暦年]])</f>
        <v>2027</v>
      </c>
      <c r="E1574" s="1" t="str">
        <f>IF(W_カレンダー[[#This Row],[月]]&lt;=3,"Q4",IF(W_カレンダー[[#This Row],[月]]&lt;=6,"Q1",IF(W_カレンダー[[#This Row],[月]]&lt;=9,"Q2","Q3")))</f>
        <v>Q2</v>
      </c>
    </row>
    <row r="1575" spans="1:5" ht="18" customHeight="1" x14ac:dyDescent="0.25">
      <c r="A1575" s="27">
        <v>46590</v>
      </c>
      <c r="B1575" s="29">
        <f>MONTH(W_カレンダー[[#This Row],[日付]])</f>
        <v>7</v>
      </c>
      <c r="C1575" s="1">
        <f>YEAR(W_カレンダー[[#This Row],[日付]])</f>
        <v>2027</v>
      </c>
      <c r="D1575" s="1">
        <f>IF(W_カレンダー[[#This Row],[月]]&lt;=3,W_カレンダー[[#This Row],[暦年]]-1,W_カレンダー[[#This Row],[暦年]])</f>
        <v>2027</v>
      </c>
      <c r="E1575" s="1" t="str">
        <f>IF(W_カレンダー[[#This Row],[月]]&lt;=3,"Q4",IF(W_カレンダー[[#This Row],[月]]&lt;=6,"Q1",IF(W_カレンダー[[#This Row],[月]]&lt;=9,"Q2","Q3")))</f>
        <v>Q2</v>
      </c>
    </row>
    <row r="1576" spans="1:5" ht="18" customHeight="1" x14ac:dyDescent="0.25">
      <c r="A1576" s="27">
        <v>46591</v>
      </c>
      <c r="B1576" s="29">
        <f>MONTH(W_カレンダー[[#This Row],[日付]])</f>
        <v>7</v>
      </c>
      <c r="C1576" s="1">
        <f>YEAR(W_カレンダー[[#This Row],[日付]])</f>
        <v>2027</v>
      </c>
      <c r="D1576" s="1">
        <f>IF(W_カレンダー[[#This Row],[月]]&lt;=3,W_カレンダー[[#This Row],[暦年]]-1,W_カレンダー[[#This Row],[暦年]])</f>
        <v>2027</v>
      </c>
      <c r="E1576" s="1" t="str">
        <f>IF(W_カレンダー[[#This Row],[月]]&lt;=3,"Q4",IF(W_カレンダー[[#This Row],[月]]&lt;=6,"Q1",IF(W_カレンダー[[#This Row],[月]]&lt;=9,"Q2","Q3")))</f>
        <v>Q2</v>
      </c>
    </row>
    <row r="1577" spans="1:5" ht="18" customHeight="1" x14ac:dyDescent="0.25">
      <c r="A1577" s="27">
        <v>46592</v>
      </c>
      <c r="B1577" s="29">
        <f>MONTH(W_カレンダー[[#This Row],[日付]])</f>
        <v>7</v>
      </c>
      <c r="C1577" s="1">
        <f>YEAR(W_カレンダー[[#This Row],[日付]])</f>
        <v>2027</v>
      </c>
      <c r="D1577" s="1">
        <f>IF(W_カレンダー[[#This Row],[月]]&lt;=3,W_カレンダー[[#This Row],[暦年]]-1,W_カレンダー[[#This Row],[暦年]])</f>
        <v>2027</v>
      </c>
      <c r="E1577" s="1" t="str">
        <f>IF(W_カレンダー[[#This Row],[月]]&lt;=3,"Q4",IF(W_カレンダー[[#This Row],[月]]&lt;=6,"Q1",IF(W_カレンダー[[#This Row],[月]]&lt;=9,"Q2","Q3")))</f>
        <v>Q2</v>
      </c>
    </row>
    <row r="1578" spans="1:5" ht="18" customHeight="1" x14ac:dyDescent="0.25">
      <c r="A1578" s="27">
        <v>46593</v>
      </c>
      <c r="B1578" s="29">
        <f>MONTH(W_カレンダー[[#This Row],[日付]])</f>
        <v>7</v>
      </c>
      <c r="C1578" s="1">
        <f>YEAR(W_カレンダー[[#This Row],[日付]])</f>
        <v>2027</v>
      </c>
      <c r="D1578" s="1">
        <f>IF(W_カレンダー[[#This Row],[月]]&lt;=3,W_カレンダー[[#This Row],[暦年]]-1,W_カレンダー[[#This Row],[暦年]])</f>
        <v>2027</v>
      </c>
      <c r="E1578" s="1" t="str">
        <f>IF(W_カレンダー[[#This Row],[月]]&lt;=3,"Q4",IF(W_カレンダー[[#This Row],[月]]&lt;=6,"Q1",IF(W_カレンダー[[#This Row],[月]]&lt;=9,"Q2","Q3")))</f>
        <v>Q2</v>
      </c>
    </row>
    <row r="1579" spans="1:5" ht="18" customHeight="1" x14ac:dyDescent="0.25">
      <c r="A1579" s="27">
        <v>46594</v>
      </c>
      <c r="B1579" s="29">
        <f>MONTH(W_カレンダー[[#This Row],[日付]])</f>
        <v>7</v>
      </c>
      <c r="C1579" s="1">
        <f>YEAR(W_カレンダー[[#This Row],[日付]])</f>
        <v>2027</v>
      </c>
      <c r="D1579" s="1">
        <f>IF(W_カレンダー[[#This Row],[月]]&lt;=3,W_カレンダー[[#This Row],[暦年]]-1,W_カレンダー[[#This Row],[暦年]])</f>
        <v>2027</v>
      </c>
      <c r="E1579" s="1" t="str">
        <f>IF(W_カレンダー[[#This Row],[月]]&lt;=3,"Q4",IF(W_カレンダー[[#This Row],[月]]&lt;=6,"Q1",IF(W_カレンダー[[#This Row],[月]]&lt;=9,"Q2","Q3")))</f>
        <v>Q2</v>
      </c>
    </row>
    <row r="1580" spans="1:5" ht="18" customHeight="1" x14ac:dyDescent="0.25">
      <c r="A1580" s="27">
        <v>46595</v>
      </c>
      <c r="B1580" s="29">
        <f>MONTH(W_カレンダー[[#This Row],[日付]])</f>
        <v>7</v>
      </c>
      <c r="C1580" s="1">
        <f>YEAR(W_カレンダー[[#This Row],[日付]])</f>
        <v>2027</v>
      </c>
      <c r="D1580" s="1">
        <f>IF(W_カレンダー[[#This Row],[月]]&lt;=3,W_カレンダー[[#This Row],[暦年]]-1,W_カレンダー[[#This Row],[暦年]])</f>
        <v>2027</v>
      </c>
      <c r="E1580" s="1" t="str">
        <f>IF(W_カレンダー[[#This Row],[月]]&lt;=3,"Q4",IF(W_カレンダー[[#This Row],[月]]&lt;=6,"Q1",IF(W_カレンダー[[#This Row],[月]]&lt;=9,"Q2","Q3")))</f>
        <v>Q2</v>
      </c>
    </row>
    <row r="1581" spans="1:5" ht="18" customHeight="1" x14ac:dyDescent="0.25">
      <c r="A1581" s="27">
        <v>46596</v>
      </c>
      <c r="B1581" s="29">
        <f>MONTH(W_カレンダー[[#This Row],[日付]])</f>
        <v>7</v>
      </c>
      <c r="C1581" s="1">
        <f>YEAR(W_カレンダー[[#This Row],[日付]])</f>
        <v>2027</v>
      </c>
      <c r="D1581" s="1">
        <f>IF(W_カレンダー[[#This Row],[月]]&lt;=3,W_カレンダー[[#This Row],[暦年]]-1,W_カレンダー[[#This Row],[暦年]])</f>
        <v>2027</v>
      </c>
      <c r="E1581" s="1" t="str">
        <f>IF(W_カレンダー[[#This Row],[月]]&lt;=3,"Q4",IF(W_カレンダー[[#This Row],[月]]&lt;=6,"Q1",IF(W_カレンダー[[#This Row],[月]]&lt;=9,"Q2","Q3")))</f>
        <v>Q2</v>
      </c>
    </row>
    <row r="1582" spans="1:5" ht="18" customHeight="1" x14ac:dyDescent="0.25">
      <c r="A1582" s="27">
        <v>46597</v>
      </c>
      <c r="B1582" s="29">
        <f>MONTH(W_カレンダー[[#This Row],[日付]])</f>
        <v>7</v>
      </c>
      <c r="C1582" s="1">
        <f>YEAR(W_カレンダー[[#This Row],[日付]])</f>
        <v>2027</v>
      </c>
      <c r="D1582" s="1">
        <f>IF(W_カレンダー[[#This Row],[月]]&lt;=3,W_カレンダー[[#This Row],[暦年]]-1,W_カレンダー[[#This Row],[暦年]])</f>
        <v>2027</v>
      </c>
      <c r="E1582" s="1" t="str">
        <f>IF(W_カレンダー[[#This Row],[月]]&lt;=3,"Q4",IF(W_カレンダー[[#This Row],[月]]&lt;=6,"Q1",IF(W_カレンダー[[#This Row],[月]]&lt;=9,"Q2","Q3")))</f>
        <v>Q2</v>
      </c>
    </row>
    <row r="1583" spans="1:5" ht="18" customHeight="1" x14ac:dyDescent="0.25">
      <c r="A1583" s="27">
        <v>46598</v>
      </c>
      <c r="B1583" s="29">
        <f>MONTH(W_カレンダー[[#This Row],[日付]])</f>
        <v>7</v>
      </c>
      <c r="C1583" s="1">
        <f>YEAR(W_カレンダー[[#This Row],[日付]])</f>
        <v>2027</v>
      </c>
      <c r="D1583" s="1">
        <f>IF(W_カレンダー[[#This Row],[月]]&lt;=3,W_カレンダー[[#This Row],[暦年]]-1,W_カレンダー[[#This Row],[暦年]])</f>
        <v>2027</v>
      </c>
      <c r="E1583" s="1" t="str">
        <f>IF(W_カレンダー[[#This Row],[月]]&lt;=3,"Q4",IF(W_カレンダー[[#This Row],[月]]&lt;=6,"Q1",IF(W_カレンダー[[#This Row],[月]]&lt;=9,"Q2","Q3")))</f>
        <v>Q2</v>
      </c>
    </row>
    <row r="1584" spans="1:5" ht="18" customHeight="1" x14ac:dyDescent="0.25">
      <c r="A1584" s="27">
        <v>46599</v>
      </c>
      <c r="B1584" s="29">
        <f>MONTH(W_カレンダー[[#This Row],[日付]])</f>
        <v>7</v>
      </c>
      <c r="C1584" s="1">
        <f>YEAR(W_カレンダー[[#This Row],[日付]])</f>
        <v>2027</v>
      </c>
      <c r="D1584" s="1">
        <f>IF(W_カレンダー[[#This Row],[月]]&lt;=3,W_カレンダー[[#This Row],[暦年]]-1,W_カレンダー[[#This Row],[暦年]])</f>
        <v>2027</v>
      </c>
      <c r="E1584" s="1" t="str">
        <f>IF(W_カレンダー[[#This Row],[月]]&lt;=3,"Q4",IF(W_カレンダー[[#This Row],[月]]&lt;=6,"Q1",IF(W_カレンダー[[#This Row],[月]]&lt;=9,"Q2","Q3")))</f>
        <v>Q2</v>
      </c>
    </row>
    <row r="1585" spans="1:5" ht="18" customHeight="1" x14ac:dyDescent="0.25">
      <c r="A1585" s="27">
        <v>46600</v>
      </c>
      <c r="B1585" s="29">
        <f>MONTH(W_カレンダー[[#This Row],[日付]])</f>
        <v>8</v>
      </c>
      <c r="C1585" s="1">
        <f>YEAR(W_カレンダー[[#This Row],[日付]])</f>
        <v>2027</v>
      </c>
      <c r="D1585" s="1">
        <f>IF(W_カレンダー[[#This Row],[月]]&lt;=3,W_カレンダー[[#This Row],[暦年]]-1,W_カレンダー[[#This Row],[暦年]])</f>
        <v>2027</v>
      </c>
      <c r="E1585" s="1" t="str">
        <f>IF(W_カレンダー[[#This Row],[月]]&lt;=3,"Q4",IF(W_カレンダー[[#This Row],[月]]&lt;=6,"Q1",IF(W_カレンダー[[#This Row],[月]]&lt;=9,"Q2","Q3")))</f>
        <v>Q2</v>
      </c>
    </row>
    <row r="1586" spans="1:5" ht="18" customHeight="1" x14ac:dyDescent="0.25">
      <c r="A1586" s="27">
        <v>46601</v>
      </c>
      <c r="B1586" s="29">
        <f>MONTH(W_カレンダー[[#This Row],[日付]])</f>
        <v>8</v>
      </c>
      <c r="C1586" s="1">
        <f>YEAR(W_カレンダー[[#This Row],[日付]])</f>
        <v>2027</v>
      </c>
      <c r="D1586" s="1">
        <f>IF(W_カレンダー[[#This Row],[月]]&lt;=3,W_カレンダー[[#This Row],[暦年]]-1,W_カレンダー[[#This Row],[暦年]])</f>
        <v>2027</v>
      </c>
      <c r="E1586" s="1" t="str">
        <f>IF(W_カレンダー[[#This Row],[月]]&lt;=3,"Q4",IF(W_カレンダー[[#This Row],[月]]&lt;=6,"Q1",IF(W_カレンダー[[#This Row],[月]]&lt;=9,"Q2","Q3")))</f>
        <v>Q2</v>
      </c>
    </row>
    <row r="1587" spans="1:5" ht="18" customHeight="1" x14ac:dyDescent="0.25">
      <c r="A1587" s="27">
        <v>46602</v>
      </c>
      <c r="B1587" s="29">
        <f>MONTH(W_カレンダー[[#This Row],[日付]])</f>
        <v>8</v>
      </c>
      <c r="C1587" s="1">
        <f>YEAR(W_カレンダー[[#This Row],[日付]])</f>
        <v>2027</v>
      </c>
      <c r="D1587" s="1">
        <f>IF(W_カレンダー[[#This Row],[月]]&lt;=3,W_カレンダー[[#This Row],[暦年]]-1,W_カレンダー[[#This Row],[暦年]])</f>
        <v>2027</v>
      </c>
      <c r="E1587" s="1" t="str">
        <f>IF(W_カレンダー[[#This Row],[月]]&lt;=3,"Q4",IF(W_カレンダー[[#This Row],[月]]&lt;=6,"Q1",IF(W_カレンダー[[#This Row],[月]]&lt;=9,"Q2","Q3")))</f>
        <v>Q2</v>
      </c>
    </row>
    <row r="1588" spans="1:5" ht="18" customHeight="1" x14ac:dyDescent="0.25">
      <c r="A1588" s="27">
        <v>46603</v>
      </c>
      <c r="B1588" s="29">
        <f>MONTH(W_カレンダー[[#This Row],[日付]])</f>
        <v>8</v>
      </c>
      <c r="C1588" s="1">
        <f>YEAR(W_カレンダー[[#This Row],[日付]])</f>
        <v>2027</v>
      </c>
      <c r="D1588" s="1">
        <f>IF(W_カレンダー[[#This Row],[月]]&lt;=3,W_カレンダー[[#This Row],[暦年]]-1,W_カレンダー[[#This Row],[暦年]])</f>
        <v>2027</v>
      </c>
      <c r="E1588" s="1" t="str">
        <f>IF(W_カレンダー[[#This Row],[月]]&lt;=3,"Q4",IF(W_カレンダー[[#This Row],[月]]&lt;=6,"Q1",IF(W_カレンダー[[#This Row],[月]]&lt;=9,"Q2","Q3")))</f>
        <v>Q2</v>
      </c>
    </row>
    <row r="1589" spans="1:5" ht="18" customHeight="1" x14ac:dyDescent="0.25">
      <c r="A1589" s="27">
        <v>46604</v>
      </c>
      <c r="B1589" s="29">
        <f>MONTH(W_カレンダー[[#This Row],[日付]])</f>
        <v>8</v>
      </c>
      <c r="C1589" s="1">
        <f>YEAR(W_カレンダー[[#This Row],[日付]])</f>
        <v>2027</v>
      </c>
      <c r="D1589" s="1">
        <f>IF(W_カレンダー[[#This Row],[月]]&lt;=3,W_カレンダー[[#This Row],[暦年]]-1,W_カレンダー[[#This Row],[暦年]])</f>
        <v>2027</v>
      </c>
      <c r="E1589" s="1" t="str">
        <f>IF(W_カレンダー[[#This Row],[月]]&lt;=3,"Q4",IF(W_カレンダー[[#This Row],[月]]&lt;=6,"Q1",IF(W_カレンダー[[#This Row],[月]]&lt;=9,"Q2","Q3")))</f>
        <v>Q2</v>
      </c>
    </row>
    <row r="1590" spans="1:5" ht="18" customHeight="1" x14ac:dyDescent="0.25">
      <c r="A1590" s="27">
        <v>46605</v>
      </c>
      <c r="B1590" s="29">
        <f>MONTH(W_カレンダー[[#This Row],[日付]])</f>
        <v>8</v>
      </c>
      <c r="C1590" s="1">
        <f>YEAR(W_カレンダー[[#This Row],[日付]])</f>
        <v>2027</v>
      </c>
      <c r="D1590" s="1">
        <f>IF(W_カレンダー[[#This Row],[月]]&lt;=3,W_カレンダー[[#This Row],[暦年]]-1,W_カレンダー[[#This Row],[暦年]])</f>
        <v>2027</v>
      </c>
      <c r="E1590" s="1" t="str">
        <f>IF(W_カレンダー[[#This Row],[月]]&lt;=3,"Q4",IF(W_カレンダー[[#This Row],[月]]&lt;=6,"Q1",IF(W_カレンダー[[#This Row],[月]]&lt;=9,"Q2","Q3")))</f>
        <v>Q2</v>
      </c>
    </row>
    <row r="1591" spans="1:5" ht="18" customHeight="1" x14ac:dyDescent="0.25">
      <c r="A1591" s="27">
        <v>46606</v>
      </c>
      <c r="B1591" s="29">
        <f>MONTH(W_カレンダー[[#This Row],[日付]])</f>
        <v>8</v>
      </c>
      <c r="C1591" s="1">
        <f>YEAR(W_カレンダー[[#This Row],[日付]])</f>
        <v>2027</v>
      </c>
      <c r="D1591" s="1">
        <f>IF(W_カレンダー[[#This Row],[月]]&lt;=3,W_カレンダー[[#This Row],[暦年]]-1,W_カレンダー[[#This Row],[暦年]])</f>
        <v>2027</v>
      </c>
      <c r="E1591" s="1" t="str">
        <f>IF(W_カレンダー[[#This Row],[月]]&lt;=3,"Q4",IF(W_カレンダー[[#This Row],[月]]&lt;=6,"Q1",IF(W_カレンダー[[#This Row],[月]]&lt;=9,"Q2","Q3")))</f>
        <v>Q2</v>
      </c>
    </row>
    <row r="1592" spans="1:5" ht="18" customHeight="1" x14ac:dyDescent="0.25">
      <c r="A1592" s="27">
        <v>46607</v>
      </c>
      <c r="B1592" s="29">
        <f>MONTH(W_カレンダー[[#This Row],[日付]])</f>
        <v>8</v>
      </c>
      <c r="C1592" s="1">
        <f>YEAR(W_カレンダー[[#This Row],[日付]])</f>
        <v>2027</v>
      </c>
      <c r="D1592" s="1">
        <f>IF(W_カレンダー[[#This Row],[月]]&lt;=3,W_カレンダー[[#This Row],[暦年]]-1,W_カレンダー[[#This Row],[暦年]])</f>
        <v>2027</v>
      </c>
      <c r="E1592" s="1" t="str">
        <f>IF(W_カレンダー[[#This Row],[月]]&lt;=3,"Q4",IF(W_カレンダー[[#This Row],[月]]&lt;=6,"Q1",IF(W_カレンダー[[#This Row],[月]]&lt;=9,"Q2","Q3")))</f>
        <v>Q2</v>
      </c>
    </row>
    <row r="1593" spans="1:5" ht="18" customHeight="1" x14ac:dyDescent="0.25">
      <c r="A1593" s="27">
        <v>46608</v>
      </c>
      <c r="B1593" s="29">
        <f>MONTH(W_カレンダー[[#This Row],[日付]])</f>
        <v>8</v>
      </c>
      <c r="C1593" s="1">
        <f>YEAR(W_カレンダー[[#This Row],[日付]])</f>
        <v>2027</v>
      </c>
      <c r="D1593" s="1">
        <f>IF(W_カレンダー[[#This Row],[月]]&lt;=3,W_カレンダー[[#This Row],[暦年]]-1,W_カレンダー[[#This Row],[暦年]])</f>
        <v>2027</v>
      </c>
      <c r="E1593" s="1" t="str">
        <f>IF(W_カレンダー[[#This Row],[月]]&lt;=3,"Q4",IF(W_カレンダー[[#This Row],[月]]&lt;=6,"Q1",IF(W_カレンダー[[#This Row],[月]]&lt;=9,"Q2","Q3")))</f>
        <v>Q2</v>
      </c>
    </row>
    <row r="1594" spans="1:5" ht="18" customHeight="1" x14ac:dyDescent="0.25">
      <c r="A1594" s="27">
        <v>46609</v>
      </c>
      <c r="B1594" s="29">
        <f>MONTH(W_カレンダー[[#This Row],[日付]])</f>
        <v>8</v>
      </c>
      <c r="C1594" s="1">
        <f>YEAR(W_カレンダー[[#This Row],[日付]])</f>
        <v>2027</v>
      </c>
      <c r="D1594" s="1">
        <f>IF(W_カレンダー[[#This Row],[月]]&lt;=3,W_カレンダー[[#This Row],[暦年]]-1,W_カレンダー[[#This Row],[暦年]])</f>
        <v>2027</v>
      </c>
      <c r="E1594" s="1" t="str">
        <f>IF(W_カレンダー[[#This Row],[月]]&lt;=3,"Q4",IF(W_カレンダー[[#This Row],[月]]&lt;=6,"Q1",IF(W_カレンダー[[#This Row],[月]]&lt;=9,"Q2","Q3")))</f>
        <v>Q2</v>
      </c>
    </row>
    <row r="1595" spans="1:5" ht="18" customHeight="1" x14ac:dyDescent="0.25">
      <c r="A1595" s="27">
        <v>46610</v>
      </c>
      <c r="B1595" s="29">
        <f>MONTH(W_カレンダー[[#This Row],[日付]])</f>
        <v>8</v>
      </c>
      <c r="C1595" s="1">
        <f>YEAR(W_カレンダー[[#This Row],[日付]])</f>
        <v>2027</v>
      </c>
      <c r="D1595" s="1">
        <f>IF(W_カレンダー[[#This Row],[月]]&lt;=3,W_カレンダー[[#This Row],[暦年]]-1,W_カレンダー[[#This Row],[暦年]])</f>
        <v>2027</v>
      </c>
      <c r="E1595" s="1" t="str">
        <f>IF(W_カレンダー[[#This Row],[月]]&lt;=3,"Q4",IF(W_カレンダー[[#This Row],[月]]&lt;=6,"Q1",IF(W_カレンダー[[#This Row],[月]]&lt;=9,"Q2","Q3")))</f>
        <v>Q2</v>
      </c>
    </row>
    <row r="1596" spans="1:5" ht="18" customHeight="1" x14ac:dyDescent="0.25">
      <c r="A1596" s="27">
        <v>46611</v>
      </c>
      <c r="B1596" s="29">
        <f>MONTH(W_カレンダー[[#This Row],[日付]])</f>
        <v>8</v>
      </c>
      <c r="C1596" s="1">
        <f>YEAR(W_カレンダー[[#This Row],[日付]])</f>
        <v>2027</v>
      </c>
      <c r="D1596" s="1">
        <f>IF(W_カレンダー[[#This Row],[月]]&lt;=3,W_カレンダー[[#This Row],[暦年]]-1,W_カレンダー[[#This Row],[暦年]])</f>
        <v>2027</v>
      </c>
      <c r="E1596" s="1" t="str">
        <f>IF(W_カレンダー[[#This Row],[月]]&lt;=3,"Q4",IF(W_カレンダー[[#This Row],[月]]&lt;=6,"Q1",IF(W_カレンダー[[#This Row],[月]]&lt;=9,"Q2","Q3")))</f>
        <v>Q2</v>
      </c>
    </row>
    <row r="1597" spans="1:5" ht="18" customHeight="1" x14ac:dyDescent="0.25">
      <c r="A1597" s="27">
        <v>46612</v>
      </c>
      <c r="B1597" s="29">
        <f>MONTH(W_カレンダー[[#This Row],[日付]])</f>
        <v>8</v>
      </c>
      <c r="C1597" s="1">
        <f>YEAR(W_カレンダー[[#This Row],[日付]])</f>
        <v>2027</v>
      </c>
      <c r="D1597" s="1">
        <f>IF(W_カレンダー[[#This Row],[月]]&lt;=3,W_カレンダー[[#This Row],[暦年]]-1,W_カレンダー[[#This Row],[暦年]])</f>
        <v>2027</v>
      </c>
      <c r="E1597" s="1" t="str">
        <f>IF(W_カレンダー[[#This Row],[月]]&lt;=3,"Q4",IF(W_カレンダー[[#This Row],[月]]&lt;=6,"Q1",IF(W_カレンダー[[#This Row],[月]]&lt;=9,"Q2","Q3")))</f>
        <v>Q2</v>
      </c>
    </row>
    <row r="1598" spans="1:5" ht="18" customHeight="1" x14ac:dyDescent="0.25">
      <c r="A1598" s="27">
        <v>46613</v>
      </c>
      <c r="B1598" s="29">
        <f>MONTH(W_カレンダー[[#This Row],[日付]])</f>
        <v>8</v>
      </c>
      <c r="C1598" s="1">
        <f>YEAR(W_カレンダー[[#This Row],[日付]])</f>
        <v>2027</v>
      </c>
      <c r="D1598" s="1">
        <f>IF(W_カレンダー[[#This Row],[月]]&lt;=3,W_カレンダー[[#This Row],[暦年]]-1,W_カレンダー[[#This Row],[暦年]])</f>
        <v>2027</v>
      </c>
      <c r="E1598" s="1" t="str">
        <f>IF(W_カレンダー[[#This Row],[月]]&lt;=3,"Q4",IF(W_カレンダー[[#This Row],[月]]&lt;=6,"Q1",IF(W_カレンダー[[#This Row],[月]]&lt;=9,"Q2","Q3")))</f>
        <v>Q2</v>
      </c>
    </row>
    <row r="1599" spans="1:5" ht="18" customHeight="1" x14ac:dyDescent="0.25">
      <c r="A1599" s="27">
        <v>46614</v>
      </c>
      <c r="B1599" s="29">
        <f>MONTH(W_カレンダー[[#This Row],[日付]])</f>
        <v>8</v>
      </c>
      <c r="C1599" s="1">
        <f>YEAR(W_カレンダー[[#This Row],[日付]])</f>
        <v>2027</v>
      </c>
      <c r="D1599" s="1">
        <f>IF(W_カレンダー[[#This Row],[月]]&lt;=3,W_カレンダー[[#This Row],[暦年]]-1,W_カレンダー[[#This Row],[暦年]])</f>
        <v>2027</v>
      </c>
      <c r="E1599" s="1" t="str">
        <f>IF(W_カレンダー[[#This Row],[月]]&lt;=3,"Q4",IF(W_カレンダー[[#This Row],[月]]&lt;=6,"Q1",IF(W_カレンダー[[#This Row],[月]]&lt;=9,"Q2","Q3")))</f>
        <v>Q2</v>
      </c>
    </row>
    <row r="1600" spans="1:5" ht="18" customHeight="1" x14ac:dyDescent="0.25">
      <c r="A1600" s="27">
        <v>46615</v>
      </c>
      <c r="B1600" s="29">
        <f>MONTH(W_カレンダー[[#This Row],[日付]])</f>
        <v>8</v>
      </c>
      <c r="C1600" s="1">
        <f>YEAR(W_カレンダー[[#This Row],[日付]])</f>
        <v>2027</v>
      </c>
      <c r="D1600" s="1">
        <f>IF(W_カレンダー[[#This Row],[月]]&lt;=3,W_カレンダー[[#This Row],[暦年]]-1,W_カレンダー[[#This Row],[暦年]])</f>
        <v>2027</v>
      </c>
      <c r="E1600" s="1" t="str">
        <f>IF(W_カレンダー[[#This Row],[月]]&lt;=3,"Q4",IF(W_カレンダー[[#This Row],[月]]&lt;=6,"Q1",IF(W_カレンダー[[#This Row],[月]]&lt;=9,"Q2","Q3")))</f>
        <v>Q2</v>
      </c>
    </row>
    <row r="1601" spans="1:5" ht="18" customHeight="1" x14ac:dyDescent="0.25">
      <c r="A1601" s="27">
        <v>46616</v>
      </c>
      <c r="B1601" s="29">
        <f>MONTH(W_カレンダー[[#This Row],[日付]])</f>
        <v>8</v>
      </c>
      <c r="C1601" s="1">
        <f>YEAR(W_カレンダー[[#This Row],[日付]])</f>
        <v>2027</v>
      </c>
      <c r="D1601" s="1">
        <f>IF(W_カレンダー[[#This Row],[月]]&lt;=3,W_カレンダー[[#This Row],[暦年]]-1,W_カレンダー[[#This Row],[暦年]])</f>
        <v>2027</v>
      </c>
      <c r="E1601" s="1" t="str">
        <f>IF(W_カレンダー[[#This Row],[月]]&lt;=3,"Q4",IF(W_カレンダー[[#This Row],[月]]&lt;=6,"Q1",IF(W_カレンダー[[#This Row],[月]]&lt;=9,"Q2","Q3")))</f>
        <v>Q2</v>
      </c>
    </row>
    <row r="1602" spans="1:5" ht="18" customHeight="1" x14ac:dyDescent="0.25">
      <c r="A1602" s="27">
        <v>46617</v>
      </c>
      <c r="B1602" s="29">
        <f>MONTH(W_カレンダー[[#This Row],[日付]])</f>
        <v>8</v>
      </c>
      <c r="C1602" s="1">
        <f>YEAR(W_カレンダー[[#This Row],[日付]])</f>
        <v>2027</v>
      </c>
      <c r="D1602" s="1">
        <f>IF(W_カレンダー[[#This Row],[月]]&lt;=3,W_カレンダー[[#This Row],[暦年]]-1,W_カレンダー[[#This Row],[暦年]])</f>
        <v>2027</v>
      </c>
      <c r="E1602" s="1" t="str">
        <f>IF(W_カレンダー[[#This Row],[月]]&lt;=3,"Q4",IF(W_カレンダー[[#This Row],[月]]&lt;=6,"Q1",IF(W_カレンダー[[#This Row],[月]]&lt;=9,"Q2","Q3")))</f>
        <v>Q2</v>
      </c>
    </row>
    <row r="1603" spans="1:5" ht="18" customHeight="1" x14ac:dyDescent="0.25">
      <c r="A1603" s="27">
        <v>46618</v>
      </c>
      <c r="B1603" s="29">
        <f>MONTH(W_カレンダー[[#This Row],[日付]])</f>
        <v>8</v>
      </c>
      <c r="C1603" s="1">
        <f>YEAR(W_カレンダー[[#This Row],[日付]])</f>
        <v>2027</v>
      </c>
      <c r="D1603" s="1">
        <f>IF(W_カレンダー[[#This Row],[月]]&lt;=3,W_カレンダー[[#This Row],[暦年]]-1,W_カレンダー[[#This Row],[暦年]])</f>
        <v>2027</v>
      </c>
      <c r="E1603" s="1" t="str">
        <f>IF(W_カレンダー[[#This Row],[月]]&lt;=3,"Q4",IF(W_カレンダー[[#This Row],[月]]&lt;=6,"Q1",IF(W_カレンダー[[#This Row],[月]]&lt;=9,"Q2","Q3")))</f>
        <v>Q2</v>
      </c>
    </row>
    <row r="1604" spans="1:5" ht="18" customHeight="1" x14ac:dyDescent="0.25">
      <c r="A1604" s="27">
        <v>46619</v>
      </c>
      <c r="B1604" s="29">
        <f>MONTH(W_カレンダー[[#This Row],[日付]])</f>
        <v>8</v>
      </c>
      <c r="C1604" s="1">
        <f>YEAR(W_カレンダー[[#This Row],[日付]])</f>
        <v>2027</v>
      </c>
      <c r="D1604" s="1">
        <f>IF(W_カレンダー[[#This Row],[月]]&lt;=3,W_カレンダー[[#This Row],[暦年]]-1,W_カレンダー[[#This Row],[暦年]])</f>
        <v>2027</v>
      </c>
      <c r="E1604" s="1" t="str">
        <f>IF(W_カレンダー[[#This Row],[月]]&lt;=3,"Q4",IF(W_カレンダー[[#This Row],[月]]&lt;=6,"Q1",IF(W_カレンダー[[#This Row],[月]]&lt;=9,"Q2","Q3")))</f>
        <v>Q2</v>
      </c>
    </row>
    <row r="1605" spans="1:5" ht="18" customHeight="1" x14ac:dyDescent="0.25">
      <c r="A1605" s="27">
        <v>46620</v>
      </c>
      <c r="B1605" s="29">
        <f>MONTH(W_カレンダー[[#This Row],[日付]])</f>
        <v>8</v>
      </c>
      <c r="C1605" s="1">
        <f>YEAR(W_カレンダー[[#This Row],[日付]])</f>
        <v>2027</v>
      </c>
      <c r="D1605" s="1">
        <f>IF(W_カレンダー[[#This Row],[月]]&lt;=3,W_カレンダー[[#This Row],[暦年]]-1,W_カレンダー[[#This Row],[暦年]])</f>
        <v>2027</v>
      </c>
      <c r="E1605" s="1" t="str">
        <f>IF(W_カレンダー[[#This Row],[月]]&lt;=3,"Q4",IF(W_カレンダー[[#This Row],[月]]&lt;=6,"Q1",IF(W_カレンダー[[#This Row],[月]]&lt;=9,"Q2","Q3")))</f>
        <v>Q2</v>
      </c>
    </row>
    <row r="1606" spans="1:5" ht="18" customHeight="1" x14ac:dyDescent="0.25">
      <c r="A1606" s="27">
        <v>46621</v>
      </c>
      <c r="B1606" s="29">
        <f>MONTH(W_カレンダー[[#This Row],[日付]])</f>
        <v>8</v>
      </c>
      <c r="C1606" s="1">
        <f>YEAR(W_カレンダー[[#This Row],[日付]])</f>
        <v>2027</v>
      </c>
      <c r="D1606" s="1">
        <f>IF(W_カレンダー[[#This Row],[月]]&lt;=3,W_カレンダー[[#This Row],[暦年]]-1,W_カレンダー[[#This Row],[暦年]])</f>
        <v>2027</v>
      </c>
      <c r="E1606" s="1" t="str">
        <f>IF(W_カレンダー[[#This Row],[月]]&lt;=3,"Q4",IF(W_カレンダー[[#This Row],[月]]&lt;=6,"Q1",IF(W_カレンダー[[#This Row],[月]]&lt;=9,"Q2","Q3")))</f>
        <v>Q2</v>
      </c>
    </row>
    <row r="1607" spans="1:5" ht="18" customHeight="1" x14ac:dyDescent="0.25">
      <c r="A1607" s="27">
        <v>46622</v>
      </c>
      <c r="B1607" s="29">
        <f>MONTH(W_カレンダー[[#This Row],[日付]])</f>
        <v>8</v>
      </c>
      <c r="C1607" s="1">
        <f>YEAR(W_カレンダー[[#This Row],[日付]])</f>
        <v>2027</v>
      </c>
      <c r="D1607" s="1">
        <f>IF(W_カレンダー[[#This Row],[月]]&lt;=3,W_カレンダー[[#This Row],[暦年]]-1,W_カレンダー[[#This Row],[暦年]])</f>
        <v>2027</v>
      </c>
      <c r="E1607" s="1" t="str">
        <f>IF(W_カレンダー[[#This Row],[月]]&lt;=3,"Q4",IF(W_カレンダー[[#This Row],[月]]&lt;=6,"Q1",IF(W_カレンダー[[#This Row],[月]]&lt;=9,"Q2","Q3")))</f>
        <v>Q2</v>
      </c>
    </row>
    <row r="1608" spans="1:5" ht="18" customHeight="1" x14ac:dyDescent="0.25">
      <c r="A1608" s="27">
        <v>46623</v>
      </c>
      <c r="B1608" s="29">
        <f>MONTH(W_カレンダー[[#This Row],[日付]])</f>
        <v>8</v>
      </c>
      <c r="C1608" s="1">
        <f>YEAR(W_カレンダー[[#This Row],[日付]])</f>
        <v>2027</v>
      </c>
      <c r="D1608" s="1">
        <f>IF(W_カレンダー[[#This Row],[月]]&lt;=3,W_カレンダー[[#This Row],[暦年]]-1,W_カレンダー[[#This Row],[暦年]])</f>
        <v>2027</v>
      </c>
      <c r="E1608" s="1" t="str">
        <f>IF(W_カレンダー[[#This Row],[月]]&lt;=3,"Q4",IF(W_カレンダー[[#This Row],[月]]&lt;=6,"Q1",IF(W_カレンダー[[#This Row],[月]]&lt;=9,"Q2","Q3")))</f>
        <v>Q2</v>
      </c>
    </row>
    <row r="1609" spans="1:5" ht="18" customHeight="1" x14ac:dyDescent="0.25">
      <c r="A1609" s="27">
        <v>46624</v>
      </c>
      <c r="B1609" s="29">
        <f>MONTH(W_カレンダー[[#This Row],[日付]])</f>
        <v>8</v>
      </c>
      <c r="C1609" s="1">
        <f>YEAR(W_カレンダー[[#This Row],[日付]])</f>
        <v>2027</v>
      </c>
      <c r="D1609" s="1">
        <f>IF(W_カレンダー[[#This Row],[月]]&lt;=3,W_カレンダー[[#This Row],[暦年]]-1,W_カレンダー[[#This Row],[暦年]])</f>
        <v>2027</v>
      </c>
      <c r="E1609" s="1" t="str">
        <f>IF(W_カレンダー[[#This Row],[月]]&lt;=3,"Q4",IF(W_カレンダー[[#This Row],[月]]&lt;=6,"Q1",IF(W_カレンダー[[#This Row],[月]]&lt;=9,"Q2","Q3")))</f>
        <v>Q2</v>
      </c>
    </row>
    <row r="1610" spans="1:5" ht="18" customHeight="1" x14ac:dyDescent="0.25">
      <c r="A1610" s="27">
        <v>46625</v>
      </c>
      <c r="B1610" s="29">
        <f>MONTH(W_カレンダー[[#This Row],[日付]])</f>
        <v>8</v>
      </c>
      <c r="C1610" s="1">
        <f>YEAR(W_カレンダー[[#This Row],[日付]])</f>
        <v>2027</v>
      </c>
      <c r="D1610" s="1">
        <f>IF(W_カレンダー[[#This Row],[月]]&lt;=3,W_カレンダー[[#This Row],[暦年]]-1,W_カレンダー[[#This Row],[暦年]])</f>
        <v>2027</v>
      </c>
      <c r="E1610" s="1" t="str">
        <f>IF(W_カレンダー[[#This Row],[月]]&lt;=3,"Q4",IF(W_カレンダー[[#This Row],[月]]&lt;=6,"Q1",IF(W_カレンダー[[#This Row],[月]]&lt;=9,"Q2","Q3")))</f>
        <v>Q2</v>
      </c>
    </row>
    <row r="1611" spans="1:5" ht="18" customHeight="1" x14ac:dyDescent="0.25">
      <c r="A1611" s="27">
        <v>46626</v>
      </c>
      <c r="B1611" s="29">
        <f>MONTH(W_カレンダー[[#This Row],[日付]])</f>
        <v>8</v>
      </c>
      <c r="C1611" s="1">
        <f>YEAR(W_カレンダー[[#This Row],[日付]])</f>
        <v>2027</v>
      </c>
      <c r="D1611" s="1">
        <f>IF(W_カレンダー[[#This Row],[月]]&lt;=3,W_カレンダー[[#This Row],[暦年]]-1,W_カレンダー[[#This Row],[暦年]])</f>
        <v>2027</v>
      </c>
      <c r="E1611" s="1" t="str">
        <f>IF(W_カレンダー[[#This Row],[月]]&lt;=3,"Q4",IF(W_カレンダー[[#This Row],[月]]&lt;=6,"Q1",IF(W_カレンダー[[#This Row],[月]]&lt;=9,"Q2","Q3")))</f>
        <v>Q2</v>
      </c>
    </row>
    <row r="1612" spans="1:5" ht="18" customHeight="1" x14ac:dyDescent="0.25">
      <c r="A1612" s="27">
        <v>46627</v>
      </c>
      <c r="B1612" s="29">
        <f>MONTH(W_カレンダー[[#This Row],[日付]])</f>
        <v>8</v>
      </c>
      <c r="C1612" s="1">
        <f>YEAR(W_カレンダー[[#This Row],[日付]])</f>
        <v>2027</v>
      </c>
      <c r="D1612" s="1">
        <f>IF(W_カレンダー[[#This Row],[月]]&lt;=3,W_カレンダー[[#This Row],[暦年]]-1,W_カレンダー[[#This Row],[暦年]])</f>
        <v>2027</v>
      </c>
      <c r="E1612" s="1" t="str">
        <f>IF(W_カレンダー[[#This Row],[月]]&lt;=3,"Q4",IF(W_カレンダー[[#This Row],[月]]&lt;=6,"Q1",IF(W_カレンダー[[#This Row],[月]]&lt;=9,"Q2","Q3")))</f>
        <v>Q2</v>
      </c>
    </row>
    <row r="1613" spans="1:5" ht="18" customHeight="1" x14ac:dyDescent="0.25">
      <c r="A1613" s="27">
        <v>46628</v>
      </c>
      <c r="B1613" s="29">
        <f>MONTH(W_カレンダー[[#This Row],[日付]])</f>
        <v>8</v>
      </c>
      <c r="C1613" s="1">
        <f>YEAR(W_カレンダー[[#This Row],[日付]])</f>
        <v>2027</v>
      </c>
      <c r="D1613" s="1">
        <f>IF(W_カレンダー[[#This Row],[月]]&lt;=3,W_カレンダー[[#This Row],[暦年]]-1,W_カレンダー[[#This Row],[暦年]])</f>
        <v>2027</v>
      </c>
      <c r="E1613" s="1" t="str">
        <f>IF(W_カレンダー[[#This Row],[月]]&lt;=3,"Q4",IF(W_カレンダー[[#This Row],[月]]&lt;=6,"Q1",IF(W_カレンダー[[#This Row],[月]]&lt;=9,"Q2","Q3")))</f>
        <v>Q2</v>
      </c>
    </row>
    <row r="1614" spans="1:5" ht="18" customHeight="1" x14ac:dyDescent="0.25">
      <c r="A1614" s="27">
        <v>46629</v>
      </c>
      <c r="B1614" s="29">
        <f>MONTH(W_カレンダー[[#This Row],[日付]])</f>
        <v>8</v>
      </c>
      <c r="C1614" s="1">
        <f>YEAR(W_カレンダー[[#This Row],[日付]])</f>
        <v>2027</v>
      </c>
      <c r="D1614" s="1">
        <f>IF(W_カレンダー[[#This Row],[月]]&lt;=3,W_カレンダー[[#This Row],[暦年]]-1,W_カレンダー[[#This Row],[暦年]])</f>
        <v>2027</v>
      </c>
      <c r="E1614" s="1" t="str">
        <f>IF(W_カレンダー[[#This Row],[月]]&lt;=3,"Q4",IF(W_カレンダー[[#This Row],[月]]&lt;=6,"Q1",IF(W_カレンダー[[#This Row],[月]]&lt;=9,"Q2","Q3")))</f>
        <v>Q2</v>
      </c>
    </row>
    <row r="1615" spans="1:5" ht="18" customHeight="1" x14ac:dyDescent="0.25">
      <c r="A1615" s="27">
        <v>46630</v>
      </c>
      <c r="B1615" s="29">
        <f>MONTH(W_カレンダー[[#This Row],[日付]])</f>
        <v>8</v>
      </c>
      <c r="C1615" s="1">
        <f>YEAR(W_カレンダー[[#This Row],[日付]])</f>
        <v>2027</v>
      </c>
      <c r="D1615" s="1">
        <f>IF(W_カレンダー[[#This Row],[月]]&lt;=3,W_カレンダー[[#This Row],[暦年]]-1,W_カレンダー[[#This Row],[暦年]])</f>
        <v>2027</v>
      </c>
      <c r="E1615" s="1" t="str">
        <f>IF(W_カレンダー[[#This Row],[月]]&lt;=3,"Q4",IF(W_カレンダー[[#This Row],[月]]&lt;=6,"Q1",IF(W_カレンダー[[#This Row],[月]]&lt;=9,"Q2","Q3")))</f>
        <v>Q2</v>
      </c>
    </row>
    <row r="1616" spans="1:5" ht="18" customHeight="1" x14ac:dyDescent="0.25">
      <c r="A1616" s="27">
        <v>46631</v>
      </c>
      <c r="B1616" s="29">
        <f>MONTH(W_カレンダー[[#This Row],[日付]])</f>
        <v>9</v>
      </c>
      <c r="C1616" s="1">
        <f>YEAR(W_カレンダー[[#This Row],[日付]])</f>
        <v>2027</v>
      </c>
      <c r="D1616" s="1">
        <f>IF(W_カレンダー[[#This Row],[月]]&lt;=3,W_カレンダー[[#This Row],[暦年]]-1,W_カレンダー[[#This Row],[暦年]])</f>
        <v>2027</v>
      </c>
      <c r="E1616" s="1" t="str">
        <f>IF(W_カレンダー[[#This Row],[月]]&lt;=3,"Q4",IF(W_カレンダー[[#This Row],[月]]&lt;=6,"Q1",IF(W_カレンダー[[#This Row],[月]]&lt;=9,"Q2","Q3")))</f>
        <v>Q2</v>
      </c>
    </row>
    <row r="1617" spans="1:5" ht="18" customHeight="1" x14ac:dyDescent="0.25">
      <c r="A1617" s="27">
        <v>46632</v>
      </c>
      <c r="B1617" s="29">
        <f>MONTH(W_カレンダー[[#This Row],[日付]])</f>
        <v>9</v>
      </c>
      <c r="C1617" s="1">
        <f>YEAR(W_カレンダー[[#This Row],[日付]])</f>
        <v>2027</v>
      </c>
      <c r="D1617" s="1">
        <f>IF(W_カレンダー[[#This Row],[月]]&lt;=3,W_カレンダー[[#This Row],[暦年]]-1,W_カレンダー[[#This Row],[暦年]])</f>
        <v>2027</v>
      </c>
      <c r="E1617" s="1" t="str">
        <f>IF(W_カレンダー[[#This Row],[月]]&lt;=3,"Q4",IF(W_カレンダー[[#This Row],[月]]&lt;=6,"Q1",IF(W_カレンダー[[#This Row],[月]]&lt;=9,"Q2","Q3")))</f>
        <v>Q2</v>
      </c>
    </row>
    <row r="1618" spans="1:5" ht="18" customHeight="1" x14ac:dyDescent="0.25">
      <c r="A1618" s="27">
        <v>46633</v>
      </c>
      <c r="B1618" s="29">
        <f>MONTH(W_カレンダー[[#This Row],[日付]])</f>
        <v>9</v>
      </c>
      <c r="C1618" s="1">
        <f>YEAR(W_カレンダー[[#This Row],[日付]])</f>
        <v>2027</v>
      </c>
      <c r="D1618" s="1">
        <f>IF(W_カレンダー[[#This Row],[月]]&lt;=3,W_カレンダー[[#This Row],[暦年]]-1,W_カレンダー[[#This Row],[暦年]])</f>
        <v>2027</v>
      </c>
      <c r="E1618" s="1" t="str">
        <f>IF(W_カレンダー[[#This Row],[月]]&lt;=3,"Q4",IF(W_カレンダー[[#This Row],[月]]&lt;=6,"Q1",IF(W_カレンダー[[#This Row],[月]]&lt;=9,"Q2","Q3")))</f>
        <v>Q2</v>
      </c>
    </row>
    <row r="1619" spans="1:5" ht="18" customHeight="1" x14ac:dyDescent="0.25">
      <c r="A1619" s="27">
        <v>46634</v>
      </c>
      <c r="B1619" s="29">
        <f>MONTH(W_カレンダー[[#This Row],[日付]])</f>
        <v>9</v>
      </c>
      <c r="C1619" s="1">
        <f>YEAR(W_カレンダー[[#This Row],[日付]])</f>
        <v>2027</v>
      </c>
      <c r="D1619" s="1">
        <f>IF(W_カレンダー[[#This Row],[月]]&lt;=3,W_カレンダー[[#This Row],[暦年]]-1,W_カレンダー[[#This Row],[暦年]])</f>
        <v>2027</v>
      </c>
      <c r="E1619" s="1" t="str">
        <f>IF(W_カレンダー[[#This Row],[月]]&lt;=3,"Q4",IF(W_カレンダー[[#This Row],[月]]&lt;=6,"Q1",IF(W_カレンダー[[#This Row],[月]]&lt;=9,"Q2","Q3")))</f>
        <v>Q2</v>
      </c>
    </row>
    <row r="1620" spans="1:5" ht="18" customHeight="1" x14ac:dyDescent="0.25">
      <c r="A1620" s="27">
        <v>46635</v>
      </c>
      <c r="B1620" s="29">
        <f>MONTH(W_カレンダー[[#This Row],[日付]])</f>
        <v>9</v>
      </c>
      <c r="C1620" s="1">
        <f>YEAR(W_カレンダー[[#This Row],[日付]])</f>
        <v>2027</v>
      </c>
      <c r="D1620" s="1">
        <f>IF(W_カレンダー[[#This Row],[月]]&lt;=3,W_カレンダー[[#This Row],[暦年]]-1,W_カレンダー[[#This Row],[暦年]])</f>
        <v>2027</v>
      </c>
      <c r="E1620" s="1" t="str">
        <f>IF(W_カレンダー[[#This Row],[月]]&lt;=3,"Q4",IF(W_カレンダー[[#This Row],[月]]&lt;=6,"Q1",IF(W_カレンダー[[#This Row],[月]]&lt;=9,"Q2","Q3")))</f>
        <v>Q2</v>
      </c>
    </row>
    <row r="1621" spans="1:5" ht="18" customHeight="1" x14ac:dyDescent="0.25">
      <c r="A1621" s="27">
        <v>46636</v>
      </c>
      <c r="B1621" s="29">
        <f>MONTH(W_カレンダー[[#This Row],[日付]])</f>
        <v>9</v>
      </c>
      <c r="C1621" s="1">
        <f>YEAR(W_カレンダー[[#This Row],[日付]])</f>
        <v>2027</v>
      </c>
      <c r="D1621" s="1">
        <f>IF(W_カレンダー[[#This Row],[月]]&lt;=3,W_カレンダー[[#This Row],[暦年]]-1,W_カレンダー[[#This Row],[暦年]])</f>
        <v>2027</v>
      </c>
      <c r="E1621" s="1" t="str">
        <f>IF(W_カレンダー[[#This Row],[月]]&lt;=3,"Q4",IF(W_カレンダー[[#This Row],[月]]&lt;=6,"Q1",IF(W_カレンダー[[#This Row],[月]]&lt;=9,"Q2","Q3")))</f>
        <v>Q2</v>
      </c>
    </row>
    <row r="1622" spans="1:5" ht="18" customHeight="1" x14ac:dyDescent="0.25">
      <c r="A1622" s="27">
        <v>46637</v>
      </c>
      <c r="B1622" s="29">
        <f>MONTH(W_カレンダー[[#This Row],[日付]])</f>
        <v>9</v>
      </c>
      <c r="C1622" s="1">
        <f>YEAR(W_カレンダー[[#This Row],[日付]])</f>
        <v>2027</v>
      </c>
      <c r="D1622" s="1">
        <f>IF(W_カレンダー[[#This Row],[月]]&lt;=3,W_カレンダー[[#This Row],[暦年]]-1,W_カレンダー[[#This Row],[暦年]])</f>
        <v>2027</v>
      </c>
      <c r="E1622" s="1" t="str">
        <f>IF(W_カレンダー[[#This Row],[月]]&lt;=3,"Q4",IF(W_カレンダー[[#This Row],[月]]&lt;=6,"Q1",IF(W_カレンダー[[#This Row],[月]]&lt;=9,"Q2","Q3")))</f>
        <v>Q2</v>
      </c>
    </row>
    <row r="1623" spans="1:5" ht="18" customHeight="1" x14ac:dyDescent="0.25">
      <c r="A1623" s="27">
        <v>46638</v>
      </c>
      <c r="B1623" s="29">
        <f>MONTH(W_カレンダー[[#This Row],[日付]])</f>
        <v>9</v>
      </c>
      <c r="C1623" s="1">
        <f>YEAR(W_カレンダー[[#This Row],[日付]])</f>
        <v>2027</v>
      </c>
      <c r="D1623" s="1">
        <f>IF(W_カレンダー[[#This Row],[月]]&lt;=3,W_カレンダー[[#This Row],[暦年]]-1,W_カレンダー[[#This Row],[暦年]])</f>
        <v>2027</v>
      </c>
      <c r="E1623" s="1" t="str">
        <f>IF(W_カレンダー[[#This Row],[月]]&lt;=3,"Q4",IF(W_カレンダー[[#This Row],[月]]&lt;=6,"Q1",IF(W_カレンダー[[#This Row],[月]]&lt;=9,"Q2","Q3")))</f>
        <v>Q2</v>
      </c>
    </row>
    <row r="1624" spans="1:5" ht="18" customHeight="1" x14ac:dyDescent="0.25">
      <c r="A1624" s="27">
        <v>46639</v>
      </c>
      <c r="B1624" s="29">
        <f>MONTH(W_カレンダー[[#This Row],[日付]])</f>
        <v>9</v>
      </c>
      <c r="C1624" s="1">
        <f>YEAR(W_カレンダー[[#This Row],[日付]])</f>
        <v>2027</v>
      </c>
      <c r="D1624" s="1">
        <f>IF(W_カレンダー[[#This Row],[月]]&lt;=3,W_カレンダー[[#This Row],[暦年]]-1,W_カレンダー[[#This Row],[暦年]])</f>
        <v>2027</v>
      </c>
      <c r="E1624" s="1" t="str">
        <f>IF(W_カレンダー[[#This Row],[月]]&lt;=3,"Q4",IF(W_カレンダー[[#This Row],[月]]&lt;=6,"Q1",IF(W_カレンダー[[#This Row],[月]]&lt;=9,"Q2","Q3")))</f>
        <v>Q2</v>
      </c>
    </row>
    <row r="1625" spans="1:5" ht="18" customHeight="1" x14ac:dyDescent="0.25">
      <c r="A1625" s="27">
        <v>46640</v>
      </c>
      <c r="B1625" s="29">
        <f>MONTH(W_カレンダー[[#This Row],[日付]])</f>
        <v>9</v>
      </c>
      <c r="C1625" s="1">
        <f>YEAR(W_カレンダー[[#This Row],[日付]])</f>
        <v>2027</v>
      </c>
      <c r="D1625" s="1">
        <f>IF(W_カレンダー[[#This Row],[月]]&lt;=3,W_カレンダー[[#This Row],[暦年]]-1,W_カレンダー[[#This Row],[暦年]])</f>
        <v>2027</v>
      </c>
      <c r="E1625" s="1" t="str">
        <f>IF(W_カレンダー[[#This Row],[月]]&lt;=3,"Q4",IF(W_カレンダー[[#This Row],[月]]&lt;=6,"Q1",IF(W_カレンダー[[#This Row],[月]]&lt;=9,"Q2","Q3")))</f>
        <v>Q2</v>
      </c>
    </row>
    <row r="1626" spans="1:5" ht="18" customHeight="1" x14ac:dyDescent="0.25">
      <c r="A1626" s="27">
        <v>46641</v>
      </c>
      <c r="B1626" s="29">
        <f>MONTH(W_カレンダー[[#This Row],[日付]])</f>
        <v>9</v>
      </c>
      <c r="C1626" s="1">
        <f>YEAR(W_カレンダー[[#This Row],[日付]])</f>
        <v>2027</v>
      </c>
      <c r="D1626" s="1">
        <f>IF(W_カレンダー[[#This Row],[月]]&lt;=3,W_カレンダー[[#This Row],[暦年]]-1,W_カレンダー[[#This Row],[暦年]])</f>
        <v>2027</v>
      </c>
      <c r="E1626" s="1" t="str">
        <f>IF(W_カレンダー[[#This Row],[月]]&lt;=3,"Q4",IF(W_カレンダー[[#This Row],[月]]&lt;=6,"Q1",IF(W_カレンダー[[#This Row],[月]]&lt;=9,"Q2","Q3")))</f>
        <v>Q2</v>
      </c>
    </row>
    <row r="1627" spans="1:5" ht="18" customHeight="1" x14ac:dyDescent="0.25">
      <c r="A1627" s="27">
        <v>46642</v>
      </c>
      <c r="B1627" s="29">
        <f>MONTH(W_カレンダー[[#This Row],[日付]])</f>
        <v>9</v>
      </c>
      <c r="C1627" s="1">
        <f>YEAR(W_カレンダー[[#This Row],[日付]])</f>
        <v>2027</v>
      </c>
      <c r="D1627" s="1">
        <f>IF(W_カレンダー[[#This Row],[月]]&lt;=3,W_カレンダー[[#This Row],[暦年]]-1,W_カレンダー[[#This Row],[暦年]])</f>
        <v>2027</v>
      </c>
      <c r="E1627" s="1" t="str">
        <f>IF(W_カレンダー[[#This Row],[月]]&lt;=3,"Q4",IF(W_カレンダー[[#This Row],[月]]&lt;=6,"Q1",IF(W_カレンダー[[#This Row],[月]]&lt;=9,"Q2","Q3")))</f>
        <v>Q2</v>
      </c>
    </row>
    <row r="1628" spans="1:5" ht="18" customHeight="1" x14ac:dyDescent="0.25">
      <c r="A1628" s="27">
        <v>46643</v>
      </c>
      <c r="B1628" s="29">
        <f>MONTH(W_カレンダー[[#This Row],[日付]])</f>
        <v>9</v>
      </c>
      <c r="C1628" s="1">
        <f>YEAR(W_カレンダー[[#This Row],[日付]])</f>
        <v>2027</v>
      </c>
      <c r="D1628" s="1">
        <f>IF(W_カレンダー[[#This Row],[月]]&lt;=3,W_カレンダー[[#This Row],[暦年]]-1,W_カレンダー[[#This Row],[暦年]])</f>
        <v>2027</v>
      </c>
      <c r="E1628" s="1" t="str">
        <f>IF(W_カレンダー[[#This Row],[月]]&lt;=3,"Q4",IF(W_カレンダー[[#This Row],[月]]&lt;=6,"Q1",IF(W_カレンダー[[#This Row],[月]]&lt;=9,"Q2","Q3")))</f>
        <v>Q2</v>
      </c>
    </row>
    <row r="1629" spans="1:5" ht="18" customHeight="1" x14ac:dyDescent="0.25">
      <c r="A1629" s="27">
        <v>46644</v>
      </c>
      <c r="B1629" s="29">
        <f>MONTH(W_カレンダー[[#This Row],[日付]])</f>
        <v>9</v>
      </c>
      <c r="C1629" s="1">
        <f>YEAR(W_カレンダー[[#This Row],[日付]])</f>
        <v>2027</v>
      </c>
      <c r="D1629" s="1">
        <f>IF(W_カレンダー[[#This Row],[月]]&lt;=3,W_カレンダー[[#This Row],[暦年]]-1,W_カレンダー[[#This Row],[暦年]])</f>
        <v>2027</v>
      </c>
      <c r="E1629" s="1" t="str">
        <f>IF(W_カレンダー[[#This Row],[月]]&lt;=3,"Q4",IF(W_カレンダー[[#This Row],[月]]&lt;=6,"Q1",IF(W_カレンダー[[#This Row],[月]]&lt;=9,"Q2","Q3")))</f>
        <v>Q2</v>
      </c>
    </row>
    <row r="1630" spans="1:5" ht="18" customHeight="1" x14ac:dyDescent="0.25">
      <c r="A1630" s="27">
        <v>46645</v>
      </c>
      <c r="B1630" s="29">
        <f>MONTH(W_カレンダー[[#This Row],[日付]])</f>
        <v>9</v>
      </c>
      <c r="C1630" s="1">
        <f>YEAR(W_カレンダー[[#This Row],[日付]])</f>
        <v>2027</v>
      </c>
      <c r="D1630" s="1">
        <f>IF(W_カレンダー[[#This Row],[月]]&lt;=3,W_カレンダー[[#This Row],[暦年]]-1,W_カレンダー[[#This Row],[暦年]])</f>
        <v>2027</v>
      </c>
      <c r="E1630" s="1" t="str">
        <f>IF(W_カレンダー[[#This Row],[月]]&lt;=3,"Q4",IF(W_カレンダー[[#This Row],[月]]&lt;=6,"Q1",IF(W_カレンダー[[#This Row],[月]]&lt;=9,"Q2","Q3")))</f>
        <v>Q2</v>
      </c>
    </row>
    <row r="1631" spans="1:5" ht="18" customHeight="1" x14ac:dyDescent="0.25">
      <c r="A1631" s="27">
        <v>46646</v>
      </c>
      <c r="B1631" s="29">
        <f>MONTH(W_カレンダー[[#This Row],[日付]])</f>
        <v>9</v>
      </c>
      <c r="C1631" s="1">
        <f>YEAR(W_カレンダー[[#This Row],[日付]])</f>
        <v>2027</v>
      </c>
      <c r="D1631" s="1">
        <f>IF(W_カレンダー[[#This Row],[月]]&lt;=3,W_カレンダー[[#This Row],[暦年]]-1,W_カレンダー[[#This Row],[暦年]])</f>
        <v>2027</v>
      </c>
      <c r="E1631" s="1" t="str">
        <f>IF(W_カレンダー[[#This Row],[月]]&lt;=3,"Q4",IF(W_カレンダー[[#This Row],[月]]&lt;=6,"Q1",IF(W_カレンダー[[#This Row],[月]]&lt;=9,"Q2","Q3")))</f>
        <v>Q2</v>
      </c>
    </row>
    <row r="1632" spans="1:5" ht="18" customHeight="1" x14ac:dyDescent="0.25">
      <c r="A1632" s="27">
        <v>46647</v>
      </c>
      <c r="B1632" s="29">
        <f>MONTH(W_カレンダー[[#This Row],[日付]])</f>
        <v>9</v>
      </c>
      <c r="C1632" s="1">
        <f>YEAR(W_カレンダー[[#This Row],[日付]])</f>
        <v>2027</v>
      </c>
      <c r="D1632" s="1">
        <f>IF(W_カレンダー[[#This Row],[月]]&lt;=3,W_カレンダー[[#This Row],[暦年]]-1,W_カレンダー[[#This Row],[暦年]])</f>
        <v>2027</v>
      </c>
      <c r="E1632" s="1" t="str">
        <f>IF(W_カレンダー[[#This Row],[月]]&lt;=3,"Q4",IF(W_カレンダー[[#This Row],[月]]&lt;=6,"Q1",IF(W_カレンダー[[#This Row],[月]]&lt;=9,"Q2","Q3")))</f>
        <v>Q2</v>
      </c>
    </row>
    <row r="1633" spans="1:5" ht="18" customHeight="1" x14ac:dyDescent="0.25">
      <c r="A1633" s="27">
        <v>46648</v>
      </c>
      <c r="B1633" s="29">
        <f>MONTH(W_カレンダー[[#This Row],[日付]])</f>
        <v>9</v>
      </c>
      <c r="C1633" s="1">
        <f>YEAR(W_カレンダー[[#This Row],[日付]])</f>
        <v>2027</v>
      </c>
      <c r="D1633" s="1">
        <f>IF(W_カレンダー[[#This Row],[月]]&lt;=3,W_カレンダー[[#This Row],[暦年]]-1,W_カレンダー[[#This Row],[暦年]])</f>
        <v>2027</v>
      </c>
      <c r="E1633" s="1" t="str">
        <f>IF(W_カレンダー[[#This Row],[月]]&lt;=3,"Q4",IF(W_カレンダー[[#This Row],[月]]&lt;=6,"Q1",IF(W_カレンダー[[#This Row],[月]]&lt;=9,"Q2","Q3")))</f>
        <v>Q2</v>
      </c>
    </row>
    <row r="1634" spans="1:5" ht="18" customHeight="1" x14ac:dyDescent="0.25">
      <c r="A1634" s="27">
        <v>46649</v>
      </c>
      <c r="B1634" s="29">
        <f>MONTH(W_カレンダー[[#This Row],[日付]])</f>
        <v>9</v>
      </c>
      <c r="C1634" s="1">
        <f>YEAR(W_カレンダー[[#This Row],[日付]])</f>
        <v>2027</v>
      </c>
      <c r="D1634" s="1">
        <f>IF(W_カレンダー[[#This Row],[月]]&lt;=3,W_カレンダー[[#This Row],[暦年]]-1,W_カレンダー[[#This Row],[暦年]])</f>
        <v>2027</v>
      </c>
      <c r="E1634" s="1" t="str">
        <f>IF(W_カレンダー[[#This Row],[月]]&lt;=3,"Q4",IF(W_カレンダー[[#This Row],[月]]&lt;=6,"Q1",IF(W_カレンダー[[#This Row],[月]]&lt;=9,"Q2","Q3")))</f>
        <v>Q2</v>
      </c>
    </row>
    <row r="1635" spans="1:5" ht="18" customHeight="1" x14ac:dyDescent="0.25">
      <c r="A1635" s="27">
        <v>46650</v>
      </c>
      <c r="B1635" s="29">
        <f>MONTH(W_カレンダー[[#This Row],[日付]])</f>
        <v>9</v>
      </c>
      <c r="C1635" s="1">
        <f>YEAR(W_カレンダー[[#This Row],[日付]])</f>
        <v>2027</v>
      </c>
      <c r="D1635" s="1">
        <f>IF(W_カレンダー[[#This Row],[月]]&lt;=3,W_カレンダー[[#This Row],[暦年]]-1,W_カレンダー[[#This Row],[暦年]])</f>
        <v>2027</v>
      </c>
      <c r="E1635" s="1" t="str">
        <f>IF(W_カレンダー[[#This Row],[月]]&lt;=3,"Q4",IF(W_カレンダー[[#This Row],[月]]&lt;=6,"Q1",IF(W_カレンダー[[#This Row],[月]]&lt;=9,"Q2","Q3")))</f>
        <v>Q2</v>
      </c>
    </row>
    <row r="1636" spans="1:5" ht="18" customHeight="1" x14ac:dyDescent="0.25">
      <c r="A1636" s="27">
        <v>46651</v>
      </c>
      <c r="B1636" s="29">
        <f>MONTH(W_カレンダー[[#This Row],[日付]])</f>
        <v>9</v>
      </c>
      <c r="C1636" s="1">
        <f>YEAR(W_カレンダー[[#This Row],[日付]])</f>
        <v>2027</v>
      </c>
      <c r="D1636" s="1">
        <f>IF(W_カレンダー[[#This Row],[月]]&lt;=3,W_カレンダー[[#This Row],[暦年]]-1,W_カレンダー[[#This Row],[暦年]])</f>
        <v>2027</v>
      </c>
      <c r="E1636" s="1" t="str">
        <f>IF(W_カレンダー[[#This Row],[月]]&lt;=3,"Q4",IF(W_カレンダー[[#This Row],[月]]&lt;=6,"Q1",IF(W_カレンダー[[#This Row],[月]]&lt;=9,"Q2","Q3")))</f>
        <v>Q2</v>
      </c>
    </row>
    <row r="1637" spans="1:5" ht="18" customHeight="1" x14ac:dyDescent="0.25">
      <c r="A1637" s="27">
        <v>46652</v>
      </c>
      <c r="B1637" s="29">
        <f>MONTH(W_カレンダー[[#This Row],[日付]])</f>
        <v>9</v>
      </c>
      <c r="C1637" s="1">
        <f>YEAR(W_カレンダー[[#This Row],[日付]])</f>
        <v>2027</v>
      </c>
      <c r="D1637" s="1">
        <f>IF(W_カレンダー[[#This Row],[月]]&lt;=3,W_カレンダー[[#This Row],[暦年]]-1,W_カレンダー[[#This Row],[暦年]])</f>
        <v>2027</v>
      </c>
      <c r="E1637" s="1" t="str">
        <f>IF(W_カレンダー[[#This Row],[月]]&lt;=3,"Q4",IF(W_カレンダー[[#This Row],[月]]&lt;=6,"Q1",IF(W_カレンダー[[#This Row],[月]]&lt;=9,"Q2","Q3")))</f>
        <v>Q2</v>
      </c>
    </row>
    <row r="1638" spans="1:5" ht="18" customHeight="1" x14ac:dyDescent="0.25">
      <c r="A1638" s="27">
        <v>46653</v>
      </c>
      <c r="B1638" s="29">
        <f>MONTH(W_カレンダー[[#This Row],[日付]])</f>
        <v>9</v>
      </c>
      <c r="C1638" s="1">
        <f>YEAR(W_カレンダー[[#This Row],[日付]])</f>
        <v>2027</v>
      </c>
      <c r="D1638" s="1">
        <f>IF(W_カレンダー[[#This Row],[月]]&lt;=3,W_カレンダー[[#This Row],[暦年]]-1,W_カレンダー[[#This Row],[暦年]])</f>
        <v>2027</v>
      </c>
      <c r="E1638" s="1" t="str">
        <f>IF(W_カレンダー[[#This Row],[月]]&lt;=3,"Q4",IF(W_カレンダー[[#This Row],[月]]&lt;=6,"Q1",IF(W_カレンダー[[#This Row],[月]]&lt;=9,"Q2","Q3")))</f>
        <v>Q2</v>
      </c>
    </row>
    <row r="1639" spans="1:5" ht="18" customHeight="1" x14ac:dyDescent="0.25">
      <c r="A1639" s="27">
        <v>46654</v>
      </c>
      <c r="B1639" s="29">
        <f>MONTH(W_カレンダー[[#This Row],[日付]])</f>
        <v>9</v>
      </c>
      <c r="C1639" s="1">
        <f>YEAR(W_カレンダー[[#This Row],[日付]])</f>
        <v>2027</v>
      </c>
      <c r="D1639" s="1">
        <f>IF(W_カレンダー[[#This Row],[月]]&lt;=3,W_カレンダー[[#This Row],[暦年]]-1,W_カレンダー[[#This Row],[暦年]])</f>
        <v>2027</v>
      </c>
      <c r="E1639" s="1" t="str">
        <f>IF(W_カレンダー[[#This Row],[月]]&lt;=3,"Q4",IF(W_カレンダー[[#This Row],[月]]&lt;=6,"Q1",IF(W_カレンダー[[#This Row],[月]]&lt;=9,"Q2","Q3")))</f>
        <v>Q2</v>
      </c>
    </row>
    <row r="1640" spans="1:5" ht="18" customHeight="1" x14ac:dyDescent="0.25">
      <c r="A1640" s="27">
        <v>46655</v>
      </c>
      <c r="B1640" s="29">
        <f>MONTH(W_カレンダー[[#This Row],[日付]])</f>
        <v>9</v>
      </c>
      <c r="C1640" s="1">
        <f>YEAR(W_カレンダー[[#This Row],[日付]])</f>
        <v>2027</v>
      </c>
      <c r="D1640" s="1">
        <f>IF(W_カレンダー[[#This Row],[月]]&lt;=3,W_カレンダー[[#This Row],[暦年]]-1,W_カレンダー[[#This Row],[暦年]])</f>
        <v>2027</v>
      </c>
      <c r="E1640" s="1" t="str">
        <f>IF(W_カレンダー[[#This Row],[月]]&lt;=3,"Q4",IF(W_カレンダー[[#This Row],[月]]&lt;=6,"Q1",IF(W_カレンダー[[#This Row],[月]]&lt;=9,"Q2","Q3")))</f>
        <v>Q2</v>
      </c>
    </row>
    <row r="1641" spans="1:5" ht="18" customHeight="1" x14ac:dyDescent="0.25">
      <c r="A1641" s="27">
        <v>46656</v>
      </c>
      <c r="B1641" s="29">
        <f>MONTH(W_カレンダー[[#This Row],[日付]])</f>
        <v>9</v>
      </c>
      <c r="C1641" s="1">
        <f>YEAR(W_カレンダー[[#This Row],[日付]])</f>
        <v>2027</v>
      </c>
      <c r="D1641" s="1">
        <f>IF(W_カレンダー[[#This Row],[月]]&lt;=3,W_カレンダー[[#This Row],[暦年]]-1,W_カレンダー[[#This Row],[暦年]])</f>
        <v>2027</v>
      </c>
      <c r="E1641" s="1" t="str">
        <f>IF(W_カレンダー[[#This Row],[月]]&lt;=3,"Q4",IF(W_カレンダー[[#This Row],[月]]&lt;=6,"Q1",IF(W_カレンダー[[#This Row],[月]]&lt;=9,"Q2","Q3")))</f>
        <v>Q2</v>
      </c>
    </row>
    <row r="1642" spans="1:5" ht="18" customHeight="1" x14ac:dyDescent="0.25">
      <c r="A1642" s="27">
        <v>46657</v>
      </c>
      <c r="B1642" s="29">
        <f>MONTH(W_カレンダー[[#This Row],[日付]])</f>
        <v>9</v>
      </c>
      <c r="C1642" s="1">
        <f>YEAR(W_カレンダー[[#This Row],[日付]])</f>
        <v>2027</v>
      </c>
      <c r="D1642" s="1">
        <f>IF(W_カレンダー[[#This Row],[月]]&lt;=3,W_カレンダー[[#This Row],[暦年]]-1,W_カレンダー[[#This Row],[暦年]])</f>
        <v>2027</v>
      </c>
      <c r="E1642" s="1" t="str">
        <f>IF(W_カレンダー[[#This Row],[月]]&lt;=3,"Q4",IF(W_カレンダー[[#This Row],[月]]&lt;=6,"Q1",IF(W_カレンダー[[#This Row],[月]]&lt;=9,"Q2","Q3")))</f>
        <v>Q2</v>
      </c>
    </row>
    <row r="1643" spans="1:5" ht="18" customHeight="1" x14ac:dyDescent="0.25">
      <c r="A1643" s="27">
        <v>46658</v>
      </c>
      <c r="B1643" s="29">
        <f>MONTH(W_カレンダー[[#This Row],[日付]])</f>
        <v>9</v>
      </c>
      <c r="C1643" s="1">
        <f>YEAR(W_カレンダー[[#This Row],[日付]])</f>
        <v>2027</v>
      </c>
      <c r="D1643" s="1">
        <f>IF(W_カレンダー[[#This Row],[月]]&lt;=3,W_カレンダー[[#This Row],[暦年]]-1,W_カレンダー[[#This Row],[暦年]])</f>
        <v>2027</v>
      </c>
      <c r="E1643" s="1" t="str">
        <f>IF(W_カレンダー[[#This Row],[月]]&lt;=3,"Q4",IF(W_カレンダー[[#This Row],[月]]&lt;=6,"Q1",IF(W_カレンダー[[#This Row],[月]]&lt;=9,"Q2","Q3")))</f>
        <v>Q2</v>
      </c>
    </row>
    <row r="1644" spans="1:5" ht="18" customHeight="1" x14ac:dyDescent="0.25">
      <c r="A1644" s="27">
        <v>46659</v>
      </c>
      <c r="B1644" s="29">
        <f>MONTH(W_カレンダー[[#This Row],[日付]])</f>
        <v>9</v>
      </c>
      <c r="C1644" s="1">
        <f>YEAR(W_カレンダー[[#This Row],[日付]])</f>
        <v>2027</v>
      </c>
      <c r="D1644" s="1">
        <f>IF(W_カレンダー[[#This Row],[月]]&lt;=3,W_カレンダー[[#This Row],[暦年]]-1,W_カレンダー[[#This Row],[暦年]])</f>
        <v>2027</v>
      </c>
      <c r="E1644" s="1" t="str">
        <f>IF(W_カレンダー[[#This Row],[月]]&lt;=3,"Q4",IF(W_カレンダー[[#This Row],[月]]&lt;=6,"Q1",IF(W_カレンダー[[#This Row],[月]]&lt;=9,"Q2","Q3")))</f>
        <v>Q2</v>
      </c>
    </row>
    <row r="1645" spans="1:5" ht="18" customHeight="1" x14ac:dyDescent="0.25">
      <c r="A1645" s="27">
        <v>46660</v>
      </c>
      <c r="B1645" s="29">
        <f>MONTH(W_カレンダー[[#This Row],[日付]])</f>
        <v>9</v>
      </c>
      <c r="C1645" s="1">
        <f>YEAR(W_カレンダー[[#This Row],[日付]])</f>
        <v>2027</v>
      </c>
      <c r="D1645" s="1">
        <f>IF(W_カレンダー[[#This Row],[月]]&lt;=3,W_カレンダー[[#This Row],[暦年]]-1,W_カレンダー[[#This Row],[暦年]])</f>
        <v>2027</v>
      </c>
      <c r="E1645" s="1" t="str">
        <f>IF(W_カレンダー[[#This Row],[月]]&lt;=3,"Q4",IF(W_カレンダー[[#This Row],[月]]&lt;=6,"Q1",IF(W_カレンダー[[#This Row],[月]]&lt;=9,"Q2","Q3")))</f>
        <v>Q2</v>
      </c>
    </row>
    <row r="1646" spans="1:5" ht="18" customHeight="1" x14ac:dyDescent="0.25">
      <c r="A1646" s="27">
        <v>46661</v>
      </c>
      <c r="B1646" s="29">
        <f>MONTH(W_カレンダー[[#This Row],[日付]])</f>
        <v>10</v>
      </c>
      <c r="C1646" s="1">
        <f>YEAR(W_カレンダー[[#This Row],[日付]])</f>
        <v>2027</v>
      </c>
      <c r="D1646" s="1">
        <f>IF(W_カレンダー[[#This Row],[月]]&lt;=3,W_カレンダー[[#This Row],[暦年]]-1,W_カレンダー[[#This Row],[暦年]])</f>
        <v>2027</v>
      </c>
      <c r="E1646" s="1" t="str">
        <f>IF(W_カレンダー[[#This Row],[月]]&lt;=3,"Q4",IF(W_カレンダー[[#This Row],[月]]&lt;=6,"Q1",IF(W_カレンダー[[#This Row],[月]]&lt;=9,"Q2","Q3")))</f>
        <v>Q3</v>
      </c>
    </row>
    <row r="1647" spans="1:5" ht="18" customHeight="1" x14ac:dyDescent="0.25">
      <c r="A1647" s="27">
        <v>46662</v>
      </c>
      <c r="B1647" s="29">
        <f>MONTH(W_カレンダー[[#This Row],[日付]])</f>
        <v>10</v>
      </c>
      <c r="C1647" s="1">
        <f>YEAR(W_カレンダー[[#This Row],[日付]])</f>
        <v>2027</v>
      </c>
      <c r="D1647" s="1">
        <f>IF(W_カレンダー[[#This Row],[月]]&lt;=3,W_カレンダー[[#This Row],[暦年]]-1,W_カレンダー[[#This Row],[暦年]])</f>
        <v>2027</v>
      </c>
      <c r="E1647" s="1" t="str">
        <f>IF(W_カレンダー[[#This Row],[月]]&lt;=3,"Q4",IF(W_カレンダー[[#This Row],[月]]&lt;=6,"Q1",IF(W_カレンダー[[#This Row],[月]]&lt;=9,"Q2","Q3")))</f>
        <v>Q3</v>
      </c>
    </row>
    <row r="1648" spans="1:5" ht="18" customHeight="1" x14ac:dyDescent="0.25">
      <c r="A1648" s="27">
        <v>46663</v>
      </c>
      <c r="B1648" s="29">
        <f>MONTH(W_カレンダー[[#This Row],[日付]])</f>
        <v>10</v>
      </c>
      <c r="C1648" s="1">
        <f>YEAR(W_カレンダー[[#This Row],[日付]])</f>
        <v>2027</v>
      </c>
      <c r="D1648" s="1">
        <f>IF(W_カレンダー[[#This Row],[月]]&lt;=3,W_カレンダー[[#This Row],[暦年]]-1,W_カレンダー[[#This Row],[暦年]])</f>
        <v>2027</v>
      </c>
      <c r="E1648" s="1" t="str">
        <f>IF(W_カレンダー[[#This Row],[月]]&lt;=3,"Q4",IF(W_カレンダー[[#This Row],[月]]&lt;=6,"Q1",IF(W_カレンダー[[#This Row],[月]]&lt;=9,"Q2","Q3")))</f>
        <v>Q3</v>
      </c>
    </row>
    <row r="1649" spans="1:5" ht="18" customHeight="1" x14ac:dyDescent="0.25">
      <c r="A1649" s="27">
        <v>46664</v>
      </c>
      <c r="B1649" s="29">
        <f>MONTH(W_カレンダー[[#This Row],[日付]])</f>
        <v>10</v>
      </c>
      <c r="C1649" s="1">
        <f>YEAR(W_カレンダー[[#This Row],[日付]])</f>
        <v>2027</v>
      </c>
      <c r="D1649" s="1">
        <f>IF(W_カレンダー[[#This Row],[月]]&lt;=3,W_カレンダー[[#This Row],[暦年]]-1,W_カレンダー[[#This Row],[暦年]])</f>
        <v>2027</v>
      </c>
      <c r="E1649" s="1" t="str">
        <f>IF(W_カレンダー[[#This Row],[月]]&lt;=3,"Q4",IF(W_カレンダー[[#This Row],[月]]&lt;=6,"Q1",IF(W_カレンダー[[#This Row],[月]]&lt;=9,"Q2","Q3")))</f>
        <v>Q3</v>
      </c>
    </row>
    <row r="1650" spans="1:5" ht="18" customHeight="1" x14ac:dyDescent="0.25">
      <c r="A1650" s="27">
        <v>46665</v>
      </c>
      <c r="B1650" s="29">
        <f>MONTH(W_カレンダー[[#This Row],[日付]])</f>
        <v>10</v>
      </c>
      <c r="C1650" s="1">
        <f>YEAR(W_カレンダー[[#This Row],[日付]])</f>
        <v>2027</v>
      </c>
      <c r="D1650" s="1">
        <f>IF(W_カレンダー[[#This Row],[月]]&lt;=3,W_カレンダー[[#This Row],[暦年]]-1,W_カレンダー[[#This Row],[暦年]])</f>
        <v>2027</v>
      </c>
      <c r="E1650" s="1" t="str">
        <f>IF(W_カレンダー[[#This Row],[月]]&lt;=3,"Q4",IF(W_カレンダー[[#This Row],[月]]&lt;=6,"Q1",IF(W_カレンダー[[#This Row],[月]]&lt;=9,"Q2","Q3")))</f>
        <v>Q3</v>
      </c>
    </row>
    <row r="1651" spans="1:5" ht="18" customHeight="1" x14ac:dyDescent="0.25">
      <c r="A1651" s="27">
        <v>46666</v>
      </c>
      <c r="B1651" s="29">
        <f>MONTH(W_カレンダー[[#This Row],[日付]])</f>
        <v>10</v>
      </c>
      <c r="C1651" s="1">
        <f>YEAR(W_カレンダー[[#This Row],[日付]])</f>
        <v>2027</v>
      </c>
      <c r="D1651" s="1">
        <f>IF(W_カレンダー[[#This Row],[月]]&lt;=3,W_カレンダー[[#This Row],[暦年]]-1,W_カレンダー[[#This Row],[暦年]])</f>
        <v>2027</v>
      </c>
      <c r="E1651" s="1" t="str">
        <f>IF(W_カレンダー[[#This Row],[月]]&lt;=3,"Q4",IF(W_カレンダー[[#This Row],[月]]&lt;=6,"Q1",IF(W_カレンダー[[#This Row],[月]]&lt;=9,"Q2","Q3")))</f>
        <v>Q3</v>
      </c>
    </row>
    <row r="1652" spans="1:5" ht="18" customHeight="1" x14ac:dyDescent="0.25">
      <c r="A1652" s="27">
        <v>46667</v>
      </c>
      <c r="B1652" s="29">
        <f>MONTH(W_カレンダー[[#This Row],[日付]])</f>
        <v>10</v>
      </c>
      <c r="C1652" s="1">
        <f>YEAR(W_カレンダー[[#This Row],[日付]])</f>
        <v>2027</v>
      </c>
      <c r="D1652" s="1">
        <f>IF(W_カレンダー[[#This Row],[月]]&lt;=3,W_カレンダー[[#This Row],[暦年]]-1,W_カレンダー[[#This Row],[暦年]])</f>
        <v>2027</v>
      </c>
      <c r="E1652" s="1" t="str">
        <f>IF(W_カレンダー[[#This Row],[月]]&lt;=3,"Q4",IF(W_カレンダー[[#This Row],[月]]&lt;=6,"Q1",IF(W_カレンダー[[#This Row],[月]]&lt;=9,"Q2","Q3")))</f>
        <v>Q3</v>
      </c>
    </row>
    <row r="1653" spans="1:5" ht="18" customHeight="1" x14ac:dyDescent="0.25">
      <c r="A1653" s="27">
        <v>46668</v>
      </c>
      <c r="B1653" s="29">
        <f>MONTH(W_カレンダー[[#This Row],[日付]])</f>
        <v>10</v>
      </c>
      <c r="C1653" s="1">
        <f>YEAR(W_カレンダー[[#This Row],[日付]])</f>
        <v>2027</v>
      </c>
      <c r="D1653" s="1">
        <f>IF(W_カレンダー[[#This Row],[月]]&lt;=3,W_カレンダー[[#This Row],[暦年]]-1,W_カレンダー[[#This Row],[暦年]])</f>
        <v>2027</v>
      </c>
      <c r="E1653" s="1" t="str">
        <f>IF(W_カレンダー[[#This Row],[月]]&lt;=3,"Q4",IF(W_カレンダー[[#This Row],[月]]&lt;=6,"Q1",IF(W_カレンダー[[#This Row],[月]]&lt;=9,"Q2","Q3")))</f>
        <v>Q3</v>
      </c>
    </row>
    <row r="1654" spans="1:5" ht="18" customHeight="1" x14ac:dyDescent="0.25">
      <c r="A1654" s="27">
        <v>46669</v>
      </c>
      <c r="B1654" s="29">
        <f>MONTH(W_カレンダー[[#This Row],[日付]])</f>
        <v>10</v>
      </c>
      <c r="C1654" s="1">
        <f>YEAR(W_カレンダー[[#This Row],[日付]])</f>
        <v>2027</v>
      </c>
      <c r="D1654" s="1">
        <f>IF(W_カレンダー[[#This Row],[月]]&lt;=3,W_カレンダー[[#This Row],[暦年]]-1,W_カレンダー[[#This Row],[暦年]])</f>
        <v>2027</v>
      </c>
      <c r="E1654" s="1" t="str">
        <f>IF(W_カレンダー[[#This Row],[月]]&lt;=3,"Q4",IF(W_カレンダー[[#This Row],[月]]&lt;=6,"Q1",IF(W_カレンダー[[#This Row],[月]]&lt;=9,"Q2","Q3")))</f>
        <v>Q3</v>
      </c>
    </row>
    <row r="1655" spans="1:5" ht="18" customHeight="1" x14ac:dyDescent="0.25">
      <c r="A1655" s="27">
        <v>46670</v>
      </c>
      <c r="B1655" s="29">
        <f>MONTH(W_カレンダー[[#This Row],[日付]])</f>
        <v>10</v>
      </c>
      <c r="C1655" s="1">
        <f>YEAR(W_カレンダー[[#This Row],[日付]])</f>
        <v>2027</v>
      </c>
      <c r="D1655" s="1">
        <f>IF(W_カレンダー[[#This Row],[月]]&lt;=3,W_カレンダー[[#This Row],[暦年]]-1,W_カレンダー[[#This Row],[暦年]])</f>
        <v>2027</v>
      </c>
      <c r="E1655" s="1" t="str">
        <f>IF(W_カレンダー[[#This Row],[月]]&lt;=3,"Q4",IF(W_カレンダー[[#This Row],[月]]&lt;=6,"Q1",IF(W_カレンダー[[#This Row],[月]]&lt;=9,"Q2","Q3")))</f>
        <v>Q3</v>
      </c>
    </row>
    <row r="1656" spans="1:5" ht="18" customHeight="1" x14ac:dyDescent="0.25">
      <c r="A1656" s="27">
        <v>46671</v>
      </c>
      <c r="B1656" s="29">
        <f>MONTH(W_カレンダー[[#This Row],[日付]])</f>
        <v>10</v>
      </c>
      <c r="C1656" s="1">
        <f>YEAR(W_カレンダー[[#This Row],[日付]])</f>
        <v>2027</v>
      </c>
      <c r="D1656" s="1">
        <f>IF(W_カレンダー[[#This Row],[月]]&lt;=3,W_カレンダー[[#This Row],[暦年]]-1,W_カレンダー[[#This Row],[暦年]])</f>
        <v>2027</v>
      </c>
      <c r="E1656" s="1" t="str">
        <f>IF(W_カレンダー[[#This Row],[月]]&lt;=3,"Q4",IF(W_カレンダー[[#This Row],[月]]&lt;=6,"Q1",IF(W_カレンダー[[#This Row],[月]]&lt;=9,"Q2","Q3")))</f>
        <v>Q3</v>
      </c>
    </row>
    <row r="1657" spans="1:5" ht="18" customHeight="1" x14ac:dyDescent="0.25">
      <c r="A1657" s="27">
        <v>46672</v>
      </c>
      <c r="B1657" s="29">
        <f>MONTH(W_カレンダー[[#This Row],[日付]])</f>
        <v>10</v>
      </c>
      <c r="C1657" s="1">
        <f>YEAR(W_カレンダー[[#This Row],[日付]])</f>
        <v>2027</v>
      </c>
      <c r="D1657" s="1">
        <f>IF(W_カレンダー[[#This Row],[月]]&lt;=3,W_カレンダー[[#This Row],[暦年]]-1,W_カレンダー[[#This Row],[暦年]])</f>
        <v>2027</v>
      </c>
      <c r="E1657" s="1" t="str">
        <f>IF(W_カレンダー[[#This Row],[月]]&lt;=3,"Q4",IF(W_カレンダー[[#This Row],[月]]&lt;=6,"Q1",IF(W_カレンダー[[#This Row],[月]]&lt;=9,"Q2","Q3")))</f>
        <v>Q3</v>
      </c>
    </row>
    <row r="1658" spans="1:5" ht="18" customHeight="1" x14ac:dyDescent="0.25">
      <c r="A1658" s="27">
        <v>46673</v>
      </c>
      <c r="B1658" s="29">
        <f>MONTH(W_カレンダー[[#This Row],[日付]])</f>
        <v>10</v>
      </c>
      <c r="C1658" s="1">
        <f>YEAR(W_カレンダー[[#This Row],[日付]])</f>
        <v>2027</v>
      </c>
      <c r="D1658" s="1">
        <f>IF(W_カレンダー[[#This Row],[月]]&lt;=3,W_カレンダー[[#This Row],[暦年]]-1,W_カレンダー[[#This Row],[暦年]])</f>
        <v>2027</v>
      </c>
      <c r="E1658" s="1" t="str">
        <f>IF(W_カレンダー[[#This Row],[月]]&lt;=3,"Q4",IF(W_カレンダー[[#This Row],[月]]&lt;=6,"Q1",IF(W_カレンダー[[#This Row],[月]]&lt;=9,"Q2","Q3")))</f>
        <v>Q3</v>
      </c>
    </row>
    <row r="1659" spans="1:5" ht="18" customHeight="1" x14ac:dyDescent="0.25">
      <c r="A1659" s="27">
        <v>46674</v>
      </c>
      <c r="B1659" s="29">
        <f>MONTH(W_カレンダー[[#This Row],[日付]])</f>
        <v>10</v>
      </c>
      <c r="C1659" s="1">
        <f>YEAR(W_カレンダー[[#This Row],[日付]])</f>
        <v>2027</v>
      </c>
      <c r="D1659" s="1">
        <f>IF(W_カレンダー[[#This Row],[月]]&lt;=3,W_カレンダー[[#This Row],[暦年]]-1,W_カレンダー[[#This Row],[暦年]])</f>
        <v>2027</v>
      </c>
      <c r="E1659" s="1" t="str">
        <f>IF(W_カレンダー[[#This Row],[月]]&lt;=3,"Q4",IF(W_カレンダー[[#This Row],[月]]&lt;=6,"Q1",IF(W_カレンダー[[#This Row],[月]]&lt;=9,"Q2","Q3")))</f>
        <v>Q3</v>
      </c>
    </row>
    <row r="1660" spans="1:5" ht="18" customHeight="1" x14ac:dyDescent="0.25">
      <c r="A1660" s="27">
        <v>46675</v>
      </c>
      <c r="B1660" s="29">
        <f>MONTH(W_カレンダー[[#This Row],[日付]])</f>
        <v>10</v>
      </c>
      <c r="C1660" s="1">
        <f>YEAR(W_カレンダー[[#This Row],[日付]])</f>
        <v>2027</v>
      </c>
      <c r="D1660" s="1">
        <f>IF(W_カレンダー[[#This Row],[月]]&lt;=3,W_カレンダー[[#This Row],[暦年]]-1,W_カレンダー[[#This Row],[暦年]])</f>
        <v>2027</v>
      </c>
      <c r="E1660" s="1" t="str">
        <f>IF(W_カレンダー[[#This Row],[月]]&lt;=3,"Q4",IF(W_カレンダー[[#This Row],[月]]&lt;=6,"Q1",IF(W_カレンダー[[#This Row],[月]]&lt;=9,"Q2","Q3")))</f>
        <v>Q3</v>
      </c>
    </row>
    <row r="1661" spans="1:5" ht="18" customHeight="1" x14ac:dyDescent="0.25">
      <c r="A1661" s="27">
        <v>46676</v>
      </c>
      <c r="B1661" s="29">
        <f>MONTH(W_カレンダー[[#This Row],[日付]])</f>
        <v>10</v>
      </c>
      <c r="C1661" s="1">
        <f>YEAR(W_カレンダー[[#This Row],[日付]])</f>
        <v>2027</v>
      </c>
      <c r="D1661" s="1">
        <f>IF(W_カレンダー[[#This Row],[月]]&lt;=3,W_カレンダー[[#This Row],[暦年]]-1,W_カレンダー[[#This Row],[暦年]])</f>
        <v>2027</v>
      </c>
      <c r="E1661" s="1" t="str">
        <f>IF(W_カレンダー[[#This Row],[月]]&lt;=3,"Q4",IF(W_カレンダー[[#This Row],[月]]&lt;=6,"Q1",IF(W_カレンダー[[#This Row],[月]]&lt;=9,"Q2","Q3")))</f>
        <v>Q3</v>
      </c>
    </row>
    <row r="1662" spans="1:5" ht="18" customHeight="1" x14ac:dyDescent="0.25">
      <c r="A1662" s="27">
        <v>46677</v>
      </c>
      <c r="B1662" s="29">
        <f>MONTH(W_カレンダー[[#This Row],[日付]])</f>
        <v>10</v>
      </c>
      <c r="C1662" s="1">
        <f>YEAR(W_カレンダー[[#This Row],[日付]])</f>
        <v>2027</v>
      </c>
      <c r="D1662" s="1">
        <f>IF(W_カレンダー[[#This Row],[月]]&lt;=3,W_カレンダー[[#This Row],[暦年]]-1,W_カレンダー[[#This Row],[暦年]])</f>
        <v>2027</v>
      </c>
      <c r="E1662" s="1" t="str">
        <f>IF(W_カレンダー[[#This Row],[月]]&lt;=3,"Q4",IF(W_カレンダー[[#This Row],[月]]&lt;=6,"Q1",IF(W_カレンダー[[#This Row],[月]]&lt;=9,"Q2","Q3")))</f>
        <v>Q3</v>
      </c>
    </row>
    <row r="1663" spans="1:5" ht="18" customHeight="1" x14ac:dyDescent="0.25">
      <c r="A1663" s="27">
        <v>46678</v>
      </c>
      <c r="B1663" s="29">
        <f>MONTH(W_カレンダー[[#This Row],[日付]])</f>
        <v>10</v>
      </c>
      <c r="C1663" s="1">
        <f>YEAR(W_カレンダー[[#This Row],[日付]])</f>
        <v>2027</v>
      </c>
      <c r="D1663" s="1">
        <f>IF(W_カレンダー[[#This Row],[月]]&lt;=3,W_カレンダー[[#This Row],[暦年]]-1,W_カレンダー[[#This Row],[暦年]])</f>
        <v>2027</v>
      </c>
      <c r="E1663" s="1" t="str">
        <f>IF(W_カレンダー[[#This Row],[月]]&lt;=3,"Q4",IF(W_カレンダー[[#This Row],[月]]&lt;=6,"Q1",IF(W_カレンダー[[#This Row],[月]]&lt;=9,"Q2","Q3")))</f>
        <v>Q3</v>
      </c>
    </row>
    <row r="1664" spans="1:5" ht="18" customHeight="1" x14ac:dyDescent="0.25">
      <c r="A1664" s="27">
        <v>46679</v>
      </c>
      <c r="B1664" s="29">
        <f>MONTH(W_カレンダー[[#This Row],[日付]])</f>
        <v>10</v>
      </c>
      <c r="C1664" s="1">
        <f>YEAR(W_カレンダー[[#This Row],[日付]])</f>
        <v>2027</v>
      </c>
      <c r="D1664" s="1">
        <f>IF(W_カレンダー[[#This Row],[月]]&lt;=3,W_カレンダー[[#This Row],[暦年]]-1,W_カレンダー[[#This Row],[暦年]])</f>
        <v>2027</v>
      </c>
      <c r="E1664" s="1" t="str">
        <f>IF(W_カレンダー[[#This Row],[月]]&lt;=3,"Q4",IF(W_カレンダー[[#This Row],[月]]&lt;=6,"Q1",IF(W_カレンダー[[#This Row],[月]]&lt;=9,"Q2","Q3")))</f>
        <v>Q3</v>
      </c>
    </row>
    <row r="1665" spans="1:5" ht="18" customHeight="1" x14ac:dyDescent="0.25">
      <c r="A1665" s="27">
        <v>46680</v>
      </c>
      <c r="B1665" s="29">
        <f>MONTH(W_カレンダー[[#This Row],[日付]])</f>
        <v>10</v>
      </c>
      <c r="C1665" s="1">
        <f>YEAR(W_カレンダー[[#This Row],[日付]])</f>
        <v>2027</v>
      </c>
      <c r="D1665" s="1">
        <f>IF(W_カレンダー[[#This Row],[月]]&lt;=3,W_カレンダー[[#This Row],[暦年]]-1,W_カレンダー[[#This Row],[暦年]])</f>
        <v>2027</v>
      </c>
      <c r="E1665" s="1" t="str">
        <f>IF(W_カレンダー[[#This Row],[月]]&lt;=3,"Q4",IF(W_カレンダー[[#This Row],[月]]&lt;=6,"Q1",IF(W_カレンダー[[#This Row],[月]]&lt;=9,"Q2","Q3")))</f>
        <v>Q3</v>
      </c>
    </row>
    <row r="1666" spans="1:5" ht="18" customHeight="1" x14ac:dyDescent="0.25">
      <c r="A1666" s="27">
        <v>46681</v>
      </c>
      <c r="B1666" s="29">
        <f>MONTH(W_カレンダー[[#This Row],[日付]])</f>
        <v>10</v>
      </c>
      <c r="C1666" s="1">
        <f>YEAR(W_カレンダー[[#This Row],[日付]])</f>
        <v>2027</v>
      </c>
      <c r="D1666" s="1">
        <f>IF(W_カレンダー[[#This Row],[月]]&lt;=3,W_カレンダー[[#This Row],[暦年]]-1,W_カレンダー[[#This Row],[暦年]])</f>
        <v>2027</v>
      </c>
      <c r="E1666" s="1" t="str">
        <f>IF(W_カレンダー[[#This Row],[月]]&lt;=3,"Q4",IF(W_カレンダー[[#This Row],[月]]&lt;=6,"Q1",IF(W_カレンダー[[#This Row],[月]]&lt;=9,"Q2","Q3")))</f>
        <v>Q3</v>
      </c>
    </row>
    <row r="1667" spans="1:5" ht="18" customHeight="1" x14ac:dyDescent="0.25">
      <c r="A1667" s="27">
        <v>46682</v>
      </c>
      <c r="B1667" s="29">
        <f>MONTH(W_カレンダー[[#This Row],[日付]])</f>
        <v>10</v>
      </c>
      <c r="C1667" s="1">
        <f>YEAR(W_カレンダー[[#This Row],[日付]])</f>
        <v>2027</v>
      </c>
      <c r="D1667" s="1">
        <f>IF(W_カレンダー[[#This Row],[月]]&lt;=3,W_カレンダー[[#This Row],[暦年]]-1,W_カレンダー[[#This Row],[暦年]])</f>
        <v>2027</v>
      </c>
      <c r="E1667" s="1" t="str">
        <f>IF(W_カレンダー[[#This Row],[月]]&lt;=3,"Q4",IF(W_カレンダー[[#This Row],[月]]&lt;=6,"Q1",IF(W_カレンダー[[#This Row],[月]]&lt;=9,"Q2","Q3")))</f>
        <v>Q3</v>
      </c>
    </row>
    <row r="1668" spans="1:5" ht="18" customHeight="1" x14ac:dyDescent="0.25">
      <c r="A1668" s="27">
        <v>46683</v>
      </c>
      <c r="B1668" s="29">
        <f>MONTH(W_カレンダー[[#This Row],[日付]])</f>
        <v>10</v>
      </c>
      <c r="C1668" s="1">
        <f>YEAR(W_カレンダー[[#This Row],[日付]])</f>
        <v>2027</v>
      </c>
      <c r="D1668" s="1">
        <f>IF(W_カレンダー[[#This Row],[月]]&lt;=3,W_カレンダー[[#This Row],[暦年]]-1,W_カレンダー[[#This Row],[暦年]])</f>
        <v>2027</v>
      </c>
      <c r="E1668" s="1" t="str">
        <f>IF(W_カレンダー[[#This Row],[月]]&lt;=3,"Q4",IF(W_カレンダー[[#This Row],[月]]&lt;=6,"Q1",IF(W_カレンダー[[#This Row],[月]]&lt;=9,"Q2","Q3")))</f>
        <v>Q3</v>
      </c>
    </row>
    <row r="1669" spans="1:5" ht="18" customHeight="1" x14ac:dyDescent="0.25">
      <c r="A1669" s="27">
        <v>46684</v>
      </c>
      <c r="B1669" s="29">
        <f>MONTH(W_カレンダー[[#This Row],[日付]])</f>
        <v>10</v>
      </c>
      <c r="C1669" s="1">
        <f>YEAR(W_カレンダー[[#This Row],[日付]])</f>
        <v>2027</v>
      </c>
      <c r="D1669" s="1">
        <f>IF(W_カレンダー[[#This Row],[月]]&lt;=3,W_カレンダー[[#This Row],[暦年]]-1,W_カレンダー[[#This Row],[暦年]])</f>
        <v>2027</v>
      </c>
      <c r="E1669" s="1" t="str">
        <f>IF(W_カレンダー[[#This Row],[月]]&lt;=3,"Q4",IF(W_カレンダー[[#This Row],[月]]&lt;=6,"Q1",IF(W_カレンダー[[#This Row],[月]]&lt;=9,"Q2","Q3")))</f>
        <v>Q3</v>
      </c>
    </row>
    <row r="1670" spans="1:5" ht="18" customHeight="1" x14ac:dyDescent="0.25">
      <c r="A1670" s="27">
        <v>46685</v>
      </c>
      <c r="B1670" s="29">
        <f>MONTH(W_カレンダー[[#This Row],[日付]])</f>
        <v>10</v>
      </c>
      <c r="C1670" s="1">
        <f>YEAR(W_カレンダー[[#This Row],[日付]])</f>
        <v>2027</v>
      </c>
      <c r="D1670" s="1">
        <f>IF(W_カレンダー[[#This Row],[月]]&lt;=3,W_カレンダー[[#This Row],[暦年]]-1,W_カレンダー[[#This Row],[暦年]])</f>
        <v>2027</v>
      </c>
      <c r="E1670" s="1" t="str">
        <f>IF(W_カレンダー[[#This Row],[月]]&lt;=3,"Q4",IF(W_カレンダー[[#This Row],[月]]&lt;=6,"Q1",IF(W_カレンダー[[#This Row],[月]]&lt;=9,"Q2","Q3")))</f>
        <v>Q3</v>
      </c>
    </row>
    <row r="1671" spans="1:5" ht="18" customHeight="1" x14ac:dyDescent="0.25">
      <c r="A1671" s="27">
        <v>46686</v>
      </c>
      <c r="B1671" s="29">
        <f>MONTH(W_カレンダー[[#This Row],[日付]])</f>
        <v>10</v>
      </c>
      <c r="C1671" s="1">
        <f>YEAR(W_カレンダー[[#This Row],[日付]])</f>
        <v>2027</v>
      </c>
      <c r="D1671" s="1">
        <f>IF(W_カレンダー[[#This Row],[月]]&lt;=3,W_カレンダー[[#This Row],[暦年]]-1,W_カレンダー[[#This Row],[暦年]])</f>
        <v>2027</v>
      </c>
      <c r="E1671" s="1" t="str">
        <f>IF(W_カレンダー[[#This Row],[月]]&lt;=3,"Q4",IF(W_カレンダー[[#This Row],[月]]&lt;=6,"Q1",IF(W_カレンダー[[#This Row],[月]]&lt;=9,"Q2","Q3")))</f>
        <v>Q3</v>
      </c>
    </row>
    <row r="1672" spans="1:5" ht="18" customHeight="1" x14ac:dyDescent="0.25">
      <c r="A1672" s="27">
        <v>46687</v>
      </c>
      <c r="B1672" s="29">
        <f>MONTH(W_カレンダー[[#This Row],[日付]])</f>
        <v>10</v>
      </c>
      <c r="C1672" s="1">
        <f>YEAR(W_カレンダー[[#This Row],[日付]])</f>
        <v>2027</v>
      </c>
      <c r="D1672" s="1">
        <f>IF(W_カレンダー[[#This Row],[月]]&lt;=3,W_カレンダー[[#This Row],[暦年]]-1,W_カレンダー[[#This Row],[暦年]])</f>
        <v>2027</v>
      </c>
      <c r="E1672" s="1" t="str">
        <f>IF(W_カレンダー[[#This Row],[月]]&lt;=3,"Q4",IF(W_カレンダー[[#This Row],[月]]&lt;=6,"Q1",IF(W_カレンダー[[#This Row],[月]]&lt;=9,"Q2","Q3")))</f>
        <v>Q3</v>
      </c>
    </row>
    <row r="1673" spans="1:5" ht="18" customHeight="1" x14ac:dyDescent="0.25">
      <c r="A1673" s="27">
        <v>46688</v>
      </c>
      <c r="B1673" s="29">
        <f>MONTH(W_カレンダー[[#This Row],[日付]])</f>
        <v>10</v>
      </c>
      <c r="C1673" s="1">
        <f>YEAR(W_カレンダー[[#This Row],[日付]])</f>
        <v>2027</v>
      </c>
      <c r="D1673" s="1">
        <f>IF(W_カレンダー[[#This Row],[月]]&lt;=3,W_カレンダー[[#This Row],[暦年]]-1,W_カレンダー[[#This Row],[暦年]])</f>
        <v>2027</v>
      </c>
      <c r="E1673" s="1" t="str">
        <f>IF(W_カレンダー[[#This Row],[月]]&lt;=3,"Q4",IF(W_カレンダー[[#This Row],[月]]&lt;=6,"Q1",IF(W_カレンダー[[#This Row],[月]]&lt;=9,"Q2","Q3")))</f>
        <v>Q3</v>
      </c>
    </row>
    <row r="1674" spans="1:5" ht="18" customHeight="1" x14ac:dyDescent="0.25">
      <c r="A1674" s="27">
        <v>46689</v>
      </c>
      <c r="B1674" s="29">
        <f>MONTH(W_カレンダー[[#This Row],[日付]])</f>
        <v>10</v>
      </c>
      <c r="C1674" s="1">
        <f>YEAR(W_カレンダー[[#This Row],[日付]])</f>
        <v>2027</v>
      </c>
      <c r="D1674" s="1">
        <f>IF(W_カレンダー[[#This Row],[月]]&lt;=3,W_カレンダー[[#This Row],[暦年]]-1,W_カレンダー[[#This Row],[暦年]])</f>
        <v>2027</v>
      </c>
      <c r="E1674" s="1" t="str">
        <f>IF(W_カレンダー[[#This Row],[月]]&lt;=3,"Q4",IF(W_カレンダー[[#This Row],[月]]&lt;=6,"Q1",IF(W_カレンダー[[#This Row],[月]]&lt;=9,"Q2","Q3")))</f>
        <v>Q3</v>
      </c>
    </row>
    <row r="1675" spans="1:5" ht="18" customHeight="1" x14ac:dyDescent="0.25">
      <c r="A1675" s="27">
        <v>46690</v>
      </c>
      <c r="B1675" s="29">
        <f>MONTH(W_カレンダー[[#This Row],[日付]])</f>
        <v>10</v>
      </c>
      <c r="C1675" s="1">
        <f>YEAR(W_カレンダー[[#This Row],[日付]])</f>
        <v>2027</v>
      </c>
      <c r="D1675" s="1">
        <f>IF(W_カレンダー[[#This Row],[月]]&lt;=3,W_カレンダー[[#This Row],[暦年]]-1,W_カレンダー[[#This Row],[暦年]])</f>
        <v>2027</v>
      </c>
      <c r="E1675" s="1" t="str">
        <f>IF(W_カレンダー[[#This Row],[月]]&lt;=3,"Q4",IF(W_カレンダー[[#This Row],[月]]&lt;=6,"Q1",IF(W_カレンダー[[#This Row],[月]]&lt;=9,"Q2","Q3")))</f>
        <v>Q3</v>
      </c>
    </row>
    <row r="1676" spans="1:5" ht="18" customHeight="1" x14ac:dyDescent="0.25">
      <c r="A1676" s="27">
        <v>46691</v>
      </c>
      <c r="B1676" s="29">
        <f>MONTH(W_カレンダー[[#This Row],[日付]])</f>
        <v>10</v>
      </c>
      <c r="C1676" s="1">
        <f>YEAR(W_カレンダー[[#This Row],[日付]])</f>
        <v>2027</v>
      </c>
      <c r="D1676" s="1">
        <f>IF(W_カレンダー[[#This Row],[月]]&lt;=3,W_カレンダー[[#This Row],[暦年]]-1,W_カレンダー[[#This Row],[暦年]])</f>
        <v>2027</v>
      </c>
      <c r="E1676" s="1" t="str">
        <f>IF(W_カレンダー[[#This Row],[月]]&lt;=3,"Q4",IF(W_カレンダー[[#This Row],[月]]&lt;=6,"Q1",IF(W_カレンダー[[#This Row],[月]]&lt;=9,"Q2","Q3")))</f>
        <v>Q3</v>
      </c>
    </row>
    <row r="1677" spans="1:5" ht="18" customHeight="1" x14ac:dyDescent="0.25">
      <c r="A1677" s="27">
        <v>46692</v>
      </c>
      <c r="B1677" s="29">
        <f>MONTH(W_カレンダー[[#This Row],[日付]])</f>
        <v>11</v>
      </c>
      <c r="C1677" s="1">
        <f>YEAR(W_カレンダー[[#This Row],[日付]])</f>
        <v>2027</v>
      </c>
      <c r="D1677" s="1">
        <f>IF(W_カレンダー[[#This Row],[月]]&lt;=3,W_カレンダー[[#This Row],[暦年]]-1,W_カレンダー[[#This Row],[暦年]])</f>
        <v>2027</v>
      </c>
      <c r="E1677" s="1" t="str">
        <f>IF(W_カレンダー[[#This Row],[月]]&lt;=3,"Q4",IF(W_カレンダー[[#This Row],[月]]&lt;=6,"Q1",IF(W_カレンダー[[#This Row],[月]]&lt;=9,"Q2","Q3")))</f>
        <v>Q3</v>
      </c>
    </row>
    <row r="1678" spans="1:5" ht="18" customHeight="1" x14ac:dyDescent="0.25">
      <c r="A1678" s="27">
        <v>46693</v>
      </c>
      <c r="B1678" s="29">
        <f>MONTH(W_カレンダー[[#This Row],[日付]])</f>
        <v>11</v>
      </c>
      <c r="C1678" s="1">
        <f>YEAR(W_カレンダー[[#This Row],[日付]])</f>
        <v>2027</v>
      </c>
      <c r="D1678" s="1">
        <f>IF(W_カレンダー[[#This Row],[月]]&lt;=3,W_カレンダー[[#This Row],[暦年]]-1,W_カレンダー[[#This Row],[暦年]])</f>
        <v>2027</v>
      </c>
      <c r="E1678" s="1" t="str">
        <f>IF(W_カレンダー[[#This Row],[月]]&lt;=3,"Q4",IF(W_カレンダー[[#This Row],[月]]&lt;=6,"Q1",IF(W_カレンダー[[#This Row],[月]]&lt;=9,"Q2","Q3")))</f>
        <v>Q3</v>
      </c>
    </row>
    <row r="1679" spans="1:5" ht="18" customHeight="1" x14ac:dyDescent="0.25">
      <c r="A1679" s="27">
        <v>46694</v>
      </c>
      <c r="B1679" s="29">
        <f>MONTH(W_カレンダー[[#This Row],[日付]])</f>
        <v>11</v>
      </c>
      <c r="C1679" s="1">
        <f>YEAR(W_カレンダー[[#This Row],[日付]])</f>
        <v>2027</v>
      </c>
      <c r="D1679" s="1">
        <f>IF(W_カレンダー[[#This Row],[月]]&lt;=3,W_カレンダー[[#This Row],[暦年]]-1,W_カレンダー[[#This Row],[暦年]])</f>
        <v>2027</v>
      </c>
      <c r="E1679" s="1" t="str">
        <f>IF(W_カレンダー[[#This Row],[月]]&lt;=3,"Q4",IF(W_カレンダー[[#This Row],[月]]&lt;=6,"Q1",IF(W_カレンダー[[#This Row],[月]]&lt;=9,"Q2","Q3")))</f>
        <v>Q3</v>
      </c>
    </row>
    <row r="1680" spans="1:5" ht="18" customHeight="1" x14ac:dyDescent="0.25">
      <c r="A1680" s="27">
        <v>46695</v>
      </c>
      <c r="B1680" s="29">
        <f>MONTH(W_カレンダー[[#This Row],[日付]])</f>
        <v>11</v>
      </c>
      <c r="C1680" s="1">
        <f>YEAR(W_カレンダー[[#This Row],[日付]])</f>
        <v>2027</v>
      </c>
      <c r="D1680" s="1">
        <f>IF(W_カレンダー[[#This Row],[月]]&lt;=3,W_カレンダー[[#This Row],[暦年]]-1,W_カレンダー[[#This Row],[暦年]])</f>
        <v>2027</v>
      </c>
      <c r="E1680" s="1" t="str">
        <f>IF(W_カレンダー[[#This Row],[月]]&lt;=3,"Q4",IF(W_カレンダー[[#This Row],[月]]&lt;=6,"Q1",IF(W_カレンダー[[#This Row],[月]]&lt;=9,"Q2","Q3")))</f>
        <v>Q3</v>
      </c>
    </row>
    <row r="1681" spans="1:5" ht="18" customHeight="1" x14ac:dyDescent="0.25">
      <c r="A1681" s="27">
        <v>46696</v>
      </c>
      <c r="B1681" s="29">
        <f>MONTH(W_カレンダー[[#This Row],[日付]])</f>
        <v>11</v>
      </c>
      <c r="C1681" s="1">
        <f>YEAR(W_カレンダー[[#This Row],[日付]])</f>
        <v>2027</v>
      </c>
      <c r="D1681" s="1">
        <f>IF(W_カレンダー[[#This Row],[月]]&lt;=3,W_カレンダー[[#This Row],[暦年]]-1,W_カレンダー[[#This Row],[暦年]])</f>
        <v>2027</v>
      </c>
      <c r="E1681" s="1" t="str">
        <f>IF(W_カレンダー[[#This Row],[月]]&lt;=3,"Q4",IF(W_カレンダー[[#This Row],[月]]&lt;=6,"Q1",IF(W_カレンダー[[#This Row],[月]]&lt;=9,"Q2","Q3")))</f>
        <v>Q3</v>
      </c>
    </row>
    <row r="1682" spans="1:5" ht="18" customHeight="1" x14ac:dyDescent="0.25">
      <c r="A1682" s="27">
        <v>46697</v>
      </c>
      <c r="B1682" s="29">
        <f>MONTH(W_カレンダー[[#This Row],[日付]])</f>
        <v>11</v>
      </c>
      <c r="C1682" s="1">
        <f>YEAR(W_カレンダー[[#This Row],[日付]])</f>
        <v>2027</v>
      </c>
      <c r="D1682" s="1">
        <f>IF(W_カレンダー[[#This Row],[月]]&lt;=3,W_カレンダー[[#This Row],[暦年]]-1,W_カレンダー[[#This Row],[暦年]])</f>
        <v>2027</v>
      </c>
      <c r="E1682" s="1" t="str">
        <f>IF(W_カレンダー[[#This Row],[月]]&lt;=3,"Q4",IF(W_カレンダー[[#This Row],[月]]&lt;=6,"Q1",IF(W_カレンダー[[#This Row],[月]]&lt;=9,"Q2","Q3")))</f>
        <v>Q3</v>
      </c>
    </row>
    <row r="1683" spans="1:5" ht="18" customHeight="1" x14ac:dyDescent="0.25">
      <c r="A1683" s="27">
        <v>46698</v>
      </c>
      <c r="B1683" s="29">
        <f>MONTH(W_カレンダー[[#This Row],[日付]])</f>
        <v>11</v>
      </c>
      <c r="C1683" s="1">
        <f>YEAR(W_カレンダー[[#This Row],[日付]])</f>
        <v>2027</v>
      </c>
      <c r="D1683" s="1">
        <f>IF(W_カレンダー[[#This Row],[月]]&lt;=3,W_カレンダー[[#This Row],[暦年]]-1,W_カレンダー[[#This Row],[暦年]])</f>
        <v>2027</v>
      </c>
      <c r="E1683" s="1" t="str">
        <f>IF(W_カレンダー[[#This Row],[月]]&lt;=3,"Q4",IF(W_カレンダー[[#This Row],[月]]&lt;=6,"Q1",IF(W_カレンダー[[#This Row],[月]]&lt;=9,"Q2","Q3")))</f>
        <v>Q3</v>
      </c>
    </row>
    <row r="1684" spans="1:5" ht="18" customHeight="1" x14ac:dyDescent="0.25">
      <c r="A1684" s="27">
        <v>46699</v>
      </c>
      <c r="B1684" s="29">
        <f>MONTH(W_カレンダー[[#This Row],[日付]])</f>
        <v>11</v>
      </c>
      <c r="C1684" s="1">
        <f>YEAR(W_カレンダー[[#This Row],[日付]])</f>
        <v>2027</v>
      </c>
      <c r="D1684" s="1">
        <f>IF(W_カレンダー[[#This Row],[月]]&lt;=3,W_カレンダー[[#This Row],[暦年]]-1,W_カレンダー[[#This Row],[暦年]])</f>
        <v>2027</v>
      </c>
      <c r="E1684" s="1" t="str">
        <f>IF(W_カレンダー[[#This Row],[月]]&lt;=3,"Q4",IF(W_カレンダー[[#This Row],[月]]&lt;=6,"Q1",IF(W_カレンダー[[#This Row],[月]]&lt;=9,"Q2","Q3")))</f>
        <v>Q3</v>
      </c>
    </row>
    <row r="1685" spans="1:5" ht="18" customHeight="1" x14ac:dyDescent="0.25">
      <c r="A1685" s="27">
        <v>46700</v>
      </c>
      <c r="B1685" s="29">
        <f>MONTH(W_カレンダー[[#This Row],[日付]])</f>
        <v>11</v>
      </c>
      <c r="C1685" s="1">
        <f>YEAR(W_カレンダー[[#This Row],[日付]])</f>
        <v>2027</v>
      </c>
      <c r="D1685" s="1">
        <f>IF(W_カレンダー[[#This Row],[月]]&lt;=3,W_カレンダー[[#This Row],[暦年]]-1,W_カレンダー[[#This Row],[暦年]])</f>
        <v>2027</v>
      </c>
      <c r="E1685" s="1" t="str">
        <f>IF(W_カレンダー[[#This Row],[月]]&lt;=3,"Q4",IF(W_カレンダー[[#This Row],[月]]&lt;=6,"Q1",IF(W_カレンダー[[#This Row],[月]]&lt;=9,"Q2","Q3")))</f>
        <v>Q3</v>
      </c>
    </row>
    <row r="1686" spans="1:5" ht="18" customHeight="1" x14ac:dyDescent="0.25">
      <c r="A1686" s="27">
        <v>46701</v>
      </c>
      <c r="B1686" s="29">
        <f>MONTH(W_カレンダー[[#This Row],[日付]])</f>
        <v>11</v>
      </c>
      <c r="C1686" s="1">
        <f>YEAR(W_カレンダー[[#This Row],[日付]])</f>
        <v>2027</v>
      </c>
      <c r="D1686" s="1">
        <f>IF(W_カレンダー[[#This Row],[月]]&lt;=3,W_カレンダー[[#This Row],[暦年]]-1,W_カレンダー[[#This Row],[暦年]])</f>
        <v>2027</v>
      </c>
      <c r="E1686" s="1" t="str">
        <f>IF(W_カレンダー[[#This Row],[月]]&lt;=3,"Q4",IF(W_カレンダー[[#This Row],[月]]&lt;=6,"Q1",IF(W_カレンダー[[#This Row],[月]]&lt;=9,"Q2","Q3")))</f>
        <v>Q3</v>
      </c>
    </row>
    <row r="1687" spans="1:5" ht="18" customHeight="1" x14ac:dyDescent="0.25">
      <c r="A1687" s="27">
        <v>46702</v>
      </c>
      <c r="B1687" s="29">
        <f>MONTH(W_カレンダー[[#This Row],[日付]])</f>
        <v>11</v>
      </c>
      <c r="C1687" s="1">
        <f>YEAR(W_カレンダー[[#This Row],[日付]])</f>
        <v>2027</v>
      </c>
      <c r="D1687" s="1">
        <f>IF(W_カレンダー[[#This Row],[月]]&lt;=3,W_カレンダー[[#This Row],[暦年]]-1,W_カレンダー[[#This Row],[暦年]])</f>
        <v>2027</v>
      </c>
      <c r="E1687" s="1" t="str">
        <f>IF(W_カレンダー[[#This Row],[月]]&lt;=3,"Q4",IF(W_カレンダー[[#This Row],[月]]&lt;=6,"Q1",IF(W_カレンダー[[#This Row],[月]]&lt;=9,"Q2","Q3")))</f>
        <v>Q3</v>
      </c>
    </row>
    <row r="1688" spans="1:5" ht="18" customHeight="1" x14ac:dyDescent="0.25">
      <c r="A1688" s="27">
        <v>46703</v>
      </c>
      <c r="B1688" s="29">
        <f>MONTH(W_カレンダー[[#This Row],[日付]])</f>
        <v>11</v>
      </c>
      <c r="C1688" s="1">
        <f>YEAR(W_カレンダー[[#This Row],[日付]])</f>
        <v>2027</v>
      </c>
      <c r="D1688" s="1">
        <f>IF(W_カレンダー[[#This Row],[月]]&lt;=3,W_カレンダー[[#This Row],[暦年]]-1,W_カレンダー[[#This Row],[暦年]])</f>
        <v>2027</v>
      </c>
      <c r="E1688" s="1" t="str">
        <f>IF(W_カレンダー[[#This Row],[月]]&lt;=3,"Q4",IF(W_カレンダー[[#This Row],[月]]&lt;=6,"Q1",IF(W_カレンダー[[#This Row],[月]]&lt;=9,"Q2","Q3")))</f>
        <v>Q3</v>
      </c>
    </row>
    <row r="1689" spans="1:5" ht="18" customHeight="1" x14ac:dyDescent="0.25">
      <c r="A1689" s="27">
        <v>46704</v>
      </c>
      <c r="B1689" s="29">
        <f>MONTH(W_カレンダー[[#This Row],[日付]])</f>
        <v>11</v>
      </c>
      <c r="C1689" s="1">
        <f>YEAR(W_カレンダー[[#This Row],[日付]])</f>
        <v>2027</v>
      </c>
      <c r="D1689" s="1">
        <f>IF(W_カレンダー[[#This Row],[月]]&lt;=3,W_カレンダー[[#This Row],[暦年]]-1,W_カレンダー[[#This Row],[暦年]])</f>
        <v>2027</v>
      </c>
      <c r="E1689" s="1" t="str">
        <f>IF(W_カレンダー[[#This Row],[月]]&lt;=3,"Q4",IF(W_カレンダー[[#This Row],[月]]&lt;=6,"Q1",IF(W_カレンダー[[#This Row],[月]]&lt;=9,"Q2","Q3")))</f>
        <v>Q3</v>
      </c>
    </row>
    <row r="1690" spans="1:5" ht="18" customHeight="1" x14ac:dyDescent="0.25">
      <c r="A1690" s="27">
        <v>46705</v>
      </c>
      <c r="B1690" s="29">
        <f>MONTH(W_カレンダー[[#This Row],[日付]])</f>
        <v>11</v>
      </c>
      <c r="C1690" s="1">
        <f>YEAR(W_カレンダー[[#This Row],[日付]])</f>
        <v>2027</v>
      </c>
      <c r="D1690" s="1">
        <f>IF(W_カレンダー[[#This Row],[月]]&lt;=3,W_カレンダー[[#This Row],[暦年]]-1,W_カレンダー[[#This Row],[暦年]])</f>
        <v>2027</v>
      </c>
      <c r="E1690" s="1" t="str">
        <f>IF(W_カレンダー[[#This Row],[月]]&lt;=3,"Q4",IF(W_カレンダー[[#This Row],[月]]&lt;=6,"Q1",IF(W_カレンダー[[#This Row],[月]]&lt;=9,"Q2","Q3")))</f>
        <v>Q3</v>
      </c>
    </row>
    <row r="1691" spans="1:5" ht="18" customHeight="1" x14ac:dyDescent="0.25">
      <c r="A1691" s="27">
        <v>46706</v>
      </c>
      <c r="B1691" s="29">
        <f>MONTH(W_カレンダー[[#This Row],[日付]])</f>
        <v>11</v>
      </c>
      <c r="C1691" s="1">
        <f>YEAR(W_カレンダー[[#This Row],[日付]])</f>
        <v>2027</v>
      </c>
      <c r="D1691" s="1">
        <f>IF(W_カレンダー[[#This Row],[月]]&lt;=3,W_カレンダー[[#This Row],[暦年]]-1,W_カレンダー[[#This Row],[暦年]])</f>
        <v>2027</v>
      </c>
      <c r="E1691" s="1" t="str">
        <f>IF(W_カレンダー[[#This Row],[月]]&lt;=3,"Q4",IF(W_カレンダー[[#This Row],[月]]&lt;=6,"Q1",IF(W_カレンダー[[#This Row],[月]]&lt;=9,"Q2","Q3")))</f>
        <v>Q3</v>
      </c>
    </row>
    <row r="1692" spans="1:5" ht="18" customHeight="1" x14ac:dyDescent="0.25">
      <c r="A1692" s="27">
        <v>46707</v>
      </c>
      <c r="B1692" s="29">
        <f>MONTH(W_カレンダー[[#This Row],[日付]])</f>
        <v>11</v>
      </c>
      <c r="C1692" s="1">
        <f>YEAR(W_カレンダー[[#This Row],[日付]])</f>
        <v>2027</v>
      </c>
      <c r="D1692" s="1">
        <f>IF(W_カレンダー[[#This Row],[月]]&lt;=3,W_カレンダー[[#This Row],[暦年]]-1,W_カレンダー[[#This Row],[暦年]])</f>
        <v>2027</v>
      </c>
      <c r="E1692" s="1" t="str">
        <f>IF(W_カレンダー[[#This Row],[月]]&lt;=3,"Q4",IF(W_カレンダー[[#This Row],[月]]&lt;=6,"Q1",IF(W_カレンダー[[#This Row],[月]]&lt;=9,"Q2","Q3")))</f>
        <v>Q3</v>
      </c>
    </row>
    <row r="1693" spans="1:5" ht="18" customHeight="1" x14ac:dyDescent="0.25">
      <c r="A1693" s="27">
        <v>46708</v>
      </c>
      <c r="B1693" s="29">
        <f>MONTH(W_カレンダー[[#This Row],[日付]])</f>
        <v>11</v>
      </c>
      <c r="C1693" s="1">
        <f>YEAR(W_カレンダー[[#This Row],[日付]])</f>
        <v>2027</v>
      </c>
      <c r="D1693" s="1">
        <f>IF(W_カレンダー[[#This Row],[月]]&lt;=3,W_カレンダー[[#This Row],[暦年]]-1,W_カレンダー[[#This Row],[暦年]])</f>
        <v>2027</v>
      </c>
      <c r="E1693" s="1" t="str">
        <f>IF(W_カレンダー[[#This Row],[月]]&lt;=3,"Q4",IF(W_カレンダー[[#This Row],[月]]&lt;=6,"Q1",IF(W_カレンダー[[#This Row],[月]]&lt;=9,"Q2","Q3")))</f>
        <v>Q3</v>
      </c>
    </row>
    <row r="1694" spans="1:5" ht="18" customHeight="1" x14ac:dyDescent="0.25">
      <c r="A1694" s="27">
        <v>46709</v>
      </c>
      <c r="B1694" s="29">
        <f>MONTH(W_カレンダー[[#This Row],[日付]])</f>
        <v>11</v>
      </c>
      <c r="C1694" s="1">
        <f>YEAR(W_カレンダー[[#This Row],[日付]])</f>
        <v>2027</v>
      </c>
      <c r="D1694" s="1">
        <f>IF(W_カレンダー[[#This Row],[月]]&lt;=3,W_カレンダー[[#This Row],[暦年]]-1,W_カレンダー[[#This Row],[暦年]])</f>
        <v>2027</v>
      </c>
      <c r="E1694" s="1" t="str">
        <f>IF(W_カレンダー[[#This Row],[月]]&lt;=3,"Q4",IF(W_カレンダー[[#This Row],[月]]&lt;=6,"Q1",IF(W_カレンダー[[#This Row],[月]]&lt;=9,"Q2","Q3")))</f>
        <v>Q3</v>
      </c>
    </row>
    <row r="1695" spans="1:5" ht="18" customHeight="1" x14ac:dyDescent="0.25">
      <c r="A1695" s="27">
        <v>46710</v>
      </c>
      <c r="B1695" s="29">
        <f>MONTH(W_カレンダー[[#This Row],[日付]])</f>
        <v>11</v>
      </c>
      <c r="C1695" s="1">
        <f>YEAR(W_カレンダー[[#This Row],[日付]])</f>
        <v>2027</v>
      </c>
      <c r="D1695" s="1">
        <f>IF(W_カレンダー[[#This Row],[月]]&lt;=3,W_カレンダー[[#This Row],[暦年]]-1,W_カレンダー[[#This Row],[暦年]])</f>
        <v>2027</v>
      </c>
      <c r="E1695" s="1" t="str">
        <f>IF(W_カレンダー[[#This Row],[月]]&lt;=3,"Q4",IF(W_カレンダー[[#This Row],[月]]&lt;=6,"Q1",IF(W_カレンダー[[#This Row],[月]]&lt;=9,"Q2","Q3")))</f>
        <v>Q3</v>
      </c>
    </row>
    <row r="1696" spans="1:5" ht="18" customHeight="1" x14ac:dyDescent="0.25">
      <c r="A1696" s="27">
        <v>46711</v>
      </c>
      <c r="B1696" s="29">
        <f>MONTH(W_カレンダー[[#This Row],[日付]])</f>
        <v>11</v>
      </c>
      <c r="C1696" s="1">
        <f>YEAR(W_カレンダー[[#This Row],[日付]])</f>
        <v>2027</v>
      </c>
      <c r="D1696" s="1">
        <f>IF(W_カレンダー[[#This Row],[月]]&lt;=3,W_カレンダー[[#This Row],[暦年]]-1,W_カレンダー[[#This Row],[暦年]])</f>
        <v>2027</v>
      </c>
      <c r="E1696" s="1" t="str">
        <f>IF(W_カレンダー[[#This Row],[月]]&lt;=3,"Q4",IF(W_カレンダー[[#This Row],[月]]&lt;=6,"Q1",IF(W_カレンダー[[#This Row],[月]]&lt;=9,"Q2","Q3")))</f>
        <v>Q3</v>
      </c>
    </row>
    <row r="1697" spans="1:5" ht="18" customHeight="1" x14ac:dyDescent="0.25">
      <c r="A1697" s="27">
        <v>46712</v>
      </c>
      <c r="B1697" s="29">
        <f>MONTH(W_カレンダー[[#This Row],[日付]])</f>
        <v>11</v>
      </c>
      <c r="C1697" s="1">
        <f>YEAR(W_カレンダー[[#This Row],[日付]])</f>
        <v>2027</v>
      </c>
      <c r="D1697" s="1">
        <f>IF(W_カレンダー[[#This Row],[月]]&lt;=3,W_カレンダー[[#This Row],[暦年]]-1,W_カレンダー[[#This Row],[暦年]])</f>
        <v>2027</v>
      </c>
      <c r="E1697" s="1" t="str">
        <f>IF(W_カレンダー[[#This Row],[月]]&lt;=3,"Q4",IF(W_カレンダー[[#This Row],[月]]&lt;=6,"Q1",IF(W_カレンダー[[#This Row],[月]]&lt;=9,"Q2","Q3")))</f>
        <v>Q3</v>
      </c>
    </row>
    <row r="1698" spans="1:5" ht="18" customHeight="1" x14ac:dyDescent="0.25">
      <c r="A1698" s="27">
        <v>46713</v>
      </c>
      <c r="B1698" s="29">
        <f>MONTH(W_カレンダー[[#This Row],[日付]])</f>
        <v>11</v>
      </c>
      <c r="C1698" s="1">
        <f>YEAR(W_カレンダー[[#This Row],[日付]])</f>
        <v>2027</v>
      </c>
      <c r="D1698" s="1">
        <f>IF(W_カレンダー[[#This Row],[月]]&lt;=3,W_カレンダー[[#This Row],[暦年]]-1,W_カレンダー[[#This Row],[暦年]])</f>
        <v>2027</v>
      </c>
      <c r="E1698" s="1" t="str">
        <f>IF(W_カレンダー[[#This Row],[月]]&lt;=3,"Q4",IF(W_カレンダー[[#This Row],[月]]&lt;=6,"Q1",IF(W_カレンダー[[#This Row],[月]]&lt;=9,"Q2","Q3")))</f>
        <v>Q3</v>
      </c>
    </row>
    <row r="1699" spans="1:5" ht="18" customHeight="1" x14ac:dyDescent="0.25">
      <c r="A1699" s="27">
        <v>46714</v>
      </c>
      <c r="B1699" s="29">
        <f>MONTH(W_カレンダー[[#This Row],[日付]])</f>
        <v>11</v>
      </c>
      <c r="C1699" s="1">
        <f>YEAR(W_カレンダー[[#This Row],[日付]])</f>
        <v>2027</v>
      </c>
      <c r="D1699" s="1">
        <f>IF(W_カレンダー[[#This Row],[月]]&lt;=3,W_カレンダー[[#This Row],[暦年]]-1,W_カレンダー[[#This Row],[暦年]])</f>
        <v>2027</v>
      </c>
      <c r="E1699" s="1" t="str">
        <f>IF(W_カレンダー[[#This Row],[月]]&lt;=3,"Q4",IF(W_カレンダー[[#This Row],[月]]&lt;=6,"Q1",IF(W_カレンダー[[#This Row],[月]]&lt;=9,"Q2","Q3")))</f>
        <v>Q3</v>
      </c>
    </row>
    <row r="1700" spans="1:5" ht="18" customHeight="1" x14ac:dyDescent="0.25">
      <c r="A1700" s="27">
        <v>46715</v>
      </c>
      <c r="B1700" s="29">
        <f>MONTH(W_カレンダー[[#This Row],[日付]])</f>
        <v>11</v>
      </c>
      <c r="C1700" s="1">
        <f>YEAR(W_カレンダー[[#This Row],[日付]])</f>
        <v>2027</v>
      </c>
      <c r="D1700" s="1">
        <f>IF(W_カレンダー[[#This Row],[月]]&lt;=3,W_カレンダー[[#This Row],[暦年]]-1,W_カレンダー[[#This Row],[暦年]])</f>
        <v>2027</v>
      </c>
      <c r="E1700" s="1" t="str">
        <f>IF(W_カレンダー[[#This Row],[月]]&lt;=3,"Q4",IF(W_カレンダー[[#This Row],[月]]&lt;=6,"Q1",IF(W_カレンダー[[#This Row],[月]]&lt;=9,"Q2","Q3")))</f>
        <v>Q3</v>
      </c>
    </row>
    <row r="1701" spans="1:5" ht="18" customHeight="1" x14ac:dyDescent="0.25">
      <c r="A1701" s="27">
        <v>46716</v>
      </c>
      <c r="B1701" s="29">
        <f>MONTH(W_カレンダー[[#This Row],[日付]])</f>
        <v>11</v>
      </c>
      <c r="C1701" s="1">
        <f>YEAR(W_カレンダー[[#This Row],[日付]])</f>
        <v>2027</v>
      </c>
      <c r="D1701" s="1">
        <f>IF(W_カレンダー[[#This Row],[月]]&lt;=3,W_カレンダー[[#This Row],[暦年]]-1,W_カレンダー[[#This Row],[暦年]])</f>
        <v>2027</v>
      </c>
      <c r="E1701" s="1" t="str">
        <f>IF(W_カレンダー[[#This Row],[月]]&lt;=3,"Q4",IF(W_カレンダー[[#This Row],[月]]&lt;=6,"Q1",IF(W_カレンダー[[#This Row],[月]]&lt;=9,"Q2","Q3")))</f>
        <v>Q3</v>
      </c>
    </row>
    <row r="1702" spans="1:5" ht="18" customHeight="1" x14ac:dyDescent="0.25">
      <c r="A1702" s="27">
        <v>46717</v>
      </c>
      <c r="B1702" s="29">
        <f>MONTH(W_カレンダー[[#This Row],[日付]])</f>
        <v>11</v>
      </c>
      <c r="C1702" s="1">
        <f>YEAR(W_カレンダー[[#This Row],[日付]])</f>
        <v>2027</v>
      </c>
      <c r="D1702" s="1">
        <f>IF(W_カレンダー[[#This Row],[月]]&lt;=3,W_カレンダー[[#This Row],[暦年]]-1,W_カレンダー[[#This Row],[暦年]])</f>
        <v>2027</v>
      </c>
      <c r="E1702" s="1" t="str">
        <f>IF(W_カレンダー[[#This Row],[月]]&lt;=3,"Q4",IF(W_カレンダー[[#This Row],[月]]&lt;=6,"Q1",IF(W_カレンダー[[#This Row],[月]]&lt;=9,"Q2","Q3")))</f>
        <v>Q3</v>
      </c>
    </row>
    <row r="1703" spans="1:5" ht="18" customHeight="1" x14ac:dyDescent="0.25">
      <c r="A1703" s="27">
        <v>46718</v>
      </c>
      <c r="B1703" s="29">
        <f>MONTH(W_カレンダー[[#This Row],[日付]])</f>
        <v>11</v>
      </c>
      <c r="C1703" s="1">
        <f>YEAR(W_カレンダー[[#This Row],[日付]])</f>
        <v>2027</v>
      </c>
      <c r="D1703" s="1">
        <f>IF(W_カレンダー[[#This Row],[月]]&lt;=3,W_カレンダー[[#This Row],[暦年]]-1,W_カレンダー[[#This Row],[暦年]])</f>
        <v>2027</v>
      </c>
      <c r="E1703" s="1" t="str">
        <f>IF(W_カレンダー[[#This Row],[月]]&lt;=3,"Q4",IF(W_カレンダー[[#This Row],[月]]&lt;=6,"Q1",IF(W_カレンダー[[#This Row],[月]]&lt;=9,"Q2","Q3")))</f>
        <v>Q3</v>
      </c>
    </row>
    <row r="1704" spans="1:5" ht="18" customHeight="1" x14ac:dyDescent="0.25">
      <c r="A1704" s="27">
        <v>46719</v>
      </c>
      <c r="B1704" s="29">
        <f>MONTH(W_カレンダー[[#This Row],[日付]])</f>
        <v>11</v>
      </c>
      <c r="C1704" s="1">
        <f>YEAR(W_カレンダー[[#This Row],[日付]])</f>
        <v>2027</v>
      </c>
      <c r="D1704" s="1">
        <f>IF(W_カレンダー[[#This Row],[月]]&lt;=3,W_カレンダー[[#This Row],[暦年]]-1,W_カレンダー[[#This Row],[暦年]])</f>
        <v>2027</v>
      </c>
      <c r="E1704" s="1" t="str">
        <f>IF(W_カレンダー[[#This Row],[月]]&lt;=3,"Q4",IF(W_カレンダー[[#This Row],[月]]&lt;=6,"Q1",IF(W_カレンダー[[#This Row],[月]]&lt;=9,"Q2","Q3")))</f>
        <v>Q3</v>
      </c>
    </row>
    <row r="1705" spans="1:5" ht="18" customHeight="1" x14ac:dyDescent="0.25">
      <c r="A1705" s="27">
        <v>46720</v>
      </c>
      <c r="B1705" s="29">
        <f>MONTH(W_カレンダー[[#This Row],[日付]])</f>
        <v>11</v>
      </c>
      <c r="C1705" s="1">
        <f>YEAR(W_カレンダー[[#This Row],[日付]])</f>
        <v>2027</v>
      </c>
      <c r="D1705" s="1">
        <f>IF(W_カレンダー[[#This Row],[月]]&lt;=3,W_カレンダー[[#This Row],[暦年]]-1,W_カレンダー[[#This Row],[暦年]])</f>
        <v>2027</v>
      </c>
      <c r="E1705" s="1" t="str">
        <f>IF(W_カレンダー[[#This Row],[月]]&lt;=3,"Q4",IF(W_カレンダー[[#This Row],[月]]&lt;=6,"Q1",IF(W_カレンダー[[#This Row],[月]]&lt;=9,"Q2","Q3")))</f>
        <v>Q3</v>
      </c>
    </row>
    <row r="1706" spans="1:5" ht="18" customHeight="1" x14ac:dyDescent="0.25">
      <c r="A1706" s="27">
        <v>46721</v>
      </c>
      <c r="B1706" s="29">
        <f>MONTH(W_カレンダー[[#This Row],[日付]])</f>
        <v>11</v>
      </c>
      <c r="C1706" s="1">
        <f>YEAR(W_カレンダー[[#This Row],[日付]])</f>
        <v>2027</v>
      </c>
      <c r="D1706" s="1">
        <f>IF(W_カレンダー[[#This Row],[月]]&lt;=3,W_カレンダー[[#This Row],[暦年]]-1,W_カレンダー[[#This Row],[暦年]])</f>
        <v>2027</v>
      </c>
      <c r="E1706" s="1" t="str">
        <f>IF(W_カレンダー[[#This Row],[月]]&lt;=3,"Q4",IF(W_カレンダー[[#This Row],[月]]&lt;=6,"Q1",IF(W_カレンダー[[#This Row],[月]]&lt;=9,"Q2","Q3")))</f>
        <v>Q3</v>
      </c>
    </row>
    <row r="1707" spans="1:5" ht="18" customHeight="1" x14ac:dyDescent="0.25">
      <c r="A1707" s="27">
        <v>46722</v>
      </c>
      <c r="B1707" s="29">
        <f>MONTH(W_カレンダー[[#This Row],[日付]])</f>
        <v>12</v>
      </c>
      <c r="C1707" s="1">
        <f>YEAR(W_カレンダー[[#This Row],[日付]])</f>
        <v>2027</v>
      </c>
      <c r="D1707" s="1">
        <f>IF(W_カレンダー[[#This Row],[月]]&lt;=3,W_カレンダー[[#This Row],[暦年]]-1,W_カレンダー[[#This Row],[暦年]])</f>
        <v>2027</v>
      </c>
      <c r="E1707" s="1" t="str">
        <f>IF(W_カレンダー[[#This Row],[月]]&lt;=3,"Q4",IF(W_カレンダー[[#This Row],[月]]&lt;=6,"Q1",IF(W_カレンダー[[#This Row],[月]]&lt;=9,"Q2","Q3")))</f>
        <v>Q3</v>
      </c>
    </row>
    <row r="1708" spans="1:5" ht="18" customHeight="1" x14ac:dyDescent="0.25">
      <c r="A1708" s="27">
        <v>46723</v>
      </c>
      <c r="B1708" s="29">
        <f>MONTH(W_カレンダー[[#This Row],[日付]])</f>
        <v>12</v>
      </c>
      <c r="C1708" s="1">
        <f>YEAR(W_カレンダー[[#This Row],[日付]])</f>
        <v>2027</v>
      </c>
      <c r="D1708" s="1">
        <f>IF(W_カレンダー[[#This Row],[月]]&lt;=3,W_カレンダー[[#This Row],[暦年]]-1,W_カレンダー[[#This Row],[暦年]])</f>
        <v>2027</v>
      </c>
      <c r="E1708" s="1" t="str">
        <f>IF(W_カレンダー[[#This Row],[月]]&lt;=3,"Q4",IF(W_カレンダー[[#This Row],[月]]&lt;=6,"Q1",IF(W_カレンダー[[#This Row],[月]]&lt;=9,"Q2","Q3")))</f>
        <v>Q3</v>
      </c>
    </row>
    <row r="1709" spans="1:5" ht="18" customHeight="1" x14ac:dyDescent="0.25">
      <c r="A1709" s="27">
        <v>46724</v>
      </c>
      <c r="B1709" s="29">
        <f>MONTH(W_カレンダー[[#This Row],[日付]])</f>
        <v>12</v>
      </c>
      <c r="C1709" s="1">
        <f>YEAR(W_カレンダー[[#This Row],[日付]])</f>
        <v>2027</v>
      </c>
      <c r="D1709" s="1">
        <f>IF(W_カレンダー[[#This Row],[月]]&lt;=3,W_カレンダー[[#This Row],[暦年]]-1,W_カレンダー[[#This Row],[暦年]])</f>
        <v>2027</v>
      </c>
      <c r="E1709" s="1" t="str">
        <f>IF(W_カレンダー[[#This Row],[月]]&lt;=3,"Q4",IF(W_カレンダー[[#This Row],[月]]&lt;=6,"Q1",IF(W_カレンダー[[#This Row],[月]]&lt;=9,"Q2","Q3")))</f>
        <v>Q3</v>
      </c>
    </row>
    <row r="1710" spans="1:5" ht="18" customHeight="1" x14ac:dyDescent="0.25">
      <c r="A1710" s="27">
        <v>46725</v>
      </c>
      <c r="B1710" s="29">
        <f>MONTH(W_カレンダー[[#This Row],[日付]])</f>
        <v>12</v>
      </c>
      <c r="C1710" s="1">
        <f>YEAR(W_カレンダー[[#This Row],[日付]])</f>
        <v>2027</v>
      </c>
      <c r="D1710" s="1">
        <f>IF(W_カレンダー[[#This Row],[月]]&lt;=3,W_カレンダー[[#This Row],[暦年]]-1,W_カレンダー[[#This Row],[暦年]])</f>
        <v>2027</v>
      </c>
      <c r="E1710" s="1" t="str">
        <f>IF(W_カレンダー[[#This Row],[月]]&lt;=3,"Q4",IF(W_カレンダー[[#This Row],[月]]&lt;=6,"Q1",IF(W_カレンダー[[#This Row],[月]]&lt;=9,"Q2","Q3")))</f>
        <v>Q3</v>
      </c>
    </row>
    <row r="1711" spans="1:5" ht="18" customHeight="1" x14ac:dyDescent="0.25">
      <c r="A1711" s="27">
        <v>46726</v>
      </c>
      <c r="B1711" s="29">
        <f>MONTH(W_カレンダー[[#This Row],[日付]])</f>
        <v>12</v>
      </c>
      <c r="C1711" s="1">
        <f>YEAR(W_カレンダー[[#This Row],[日付]])</f>
        <v>2027</v>
      </c>
      <c r="D1711" s="1">
        <f>IF(W_カレンダー[[#This Row],[月]]&lt;=3,W_カレンダー[[#This Row],[暦年]]-1,W_カレンダー[[#This Row],[暦年]])</f>
        <v>2027</v>
      </c>
      <c r="E1711" s="1" t="str">
        <f>IF(W_カレンダー[[#This Row],[月]]&lt;=3,"Q4",IF(W_カレンダー[[#This Row],[月]]&lt;=6,"Q1",IF(W_カレンダー[[#This Row],[月]]&lt;=9,"Q2","Q3")))</f>
        <v>Q3</v>
      </c>
    </row>
    <row r="1712" spans="1:5" ht="18" customHeight="1" x14ac:dyDescent="0.25">
      <c r="A1712" s="27">
        <v>46727</v>
      </c>
      <c r="B1712" s="29">
        <f>MONTH(W_カレンダー[[#This Row],[日付]])</f>
        <v>12</v>
      </c>
      <c r="C1712" s="1">
        <f>YEAR(W_カレンダー[[#This Row],[日付]])</f>
        <v>2027</v>
      </c>
      <c r="D1712" s="1">
        <f>IF(W_カレンダー[[#This Row],[月]]&lt;=3,W_カレンダー[[#This Row],[暦年]]-1,W_カレンダー[[#This Row],[暦年]])</f>
        <v>2027</v>
      </c>
      <c r="E1712" s="1" t="str">
        <f>IF(W_カレンダー[[#This Row],[月]]&lt;=3,"Q4",IF(W_カレンダー[[#This Row],[月]]&lt;=6,"Q1",IF(W_カレンダー[[#This Row],[月]]&lt;=9,"Q2","Q3")))</f>
        <v>Q3</v>
      </c>
    </row>
    <row r="1713" spans="1:5" ht="18" customHeight="1" x14ac:dyDescent="0.25">
      <c r="A1713" s="27">
        <v>46728</v>
      </c>
      <c r="B1713" s="29">
        <f>MONTH(W_カレンダー[[#This Row],[日付]])</f>
        <v>12</v>
      </c>
      <c r="C1713" s="1">
        <f>YEAR(W_カレンダー[[#This Row],[日付]])</f>
        <v>2027</v>
      </c>
      <c r="D1713" s="1">
        <f>IF(W_カレンダー[[#This Row],[月]]&lt;=3,W_カレンダー[[#This Row],[暦年]]-1,W_カレンダー[[#This Row],[暦年]])</f>
        <v>2027</v>
      </c>
      <c r="E1713" s="1" t="str">
        <f>IF(W_カレンダー[[#This Row],[月]]&lt;=3,"Q4",IF(W_カレンダー[[#This Row],[月]]&lt;=6,"Q1",IF(W_カレンダー[[#This Row],[月]]&lt;=9,"Q2","Q3")))</f>
        <v>Q3</v>
      </c>
    </row>
    <row r="1714" spans="1:5" ht="18" customHeight="1" x14ac:dyDescent="0.25">
      <c r="A1714" s="27">
        <v>46729</v>
      </c>
      <c r="B1714" s="29">
        <f>MONTH(W_カレンダー[[#This Row],[日付]])</f>
        <v>12</v>
      </c>
      <c r="C1714" s="1">
        <f>YEAR(W_カレンダー[[#This Row],[日付]])</f>
        <v>2027</v>
      </c>
      <c r="D1714" s="1">
        <f>IF(W_カレンダー[[#This Row],[月]]&lt;=3,W_カレンダー[[#This Row],[暦年]]-1,W_カレンダー[[#This Row],[暦年]])</f>
        <v>2027</v>
      </c>
      <c r="E1714" s="1" t="str">
        <f>IF(W_カレンダー[[#This Row],[月]]&lt;=3,"Q4",IF(W_カレンダー[[#This Row],[月]]&lt;=6,"Q1",IF(W_カレンダー[[#This Row],[月]]&lt;=9,"Q2","Q3")))</f>
        <v>Q3</v>
      </c>
    </row>
    <row r="1715" spans="1:5" ht="18" customHeight="1" x14ac:dyDescent="0.25">
      <c r="A1715" s="27">
        <v>46730</v>
      </c>
      <c r="B1715" s="29">
        <f>MONTH(W_カレンダー[[#This Row],[日付]])</f>
        <v>12</v>
      </c>
      <c r="C1715" s="1">
        <f>YEAR(W_カレンダー[[#This Row],[日付]])</f>
        <v>2027</v>
      </c>
      <c r="D1715" s="1">
        <f>IF(W_カレンダー[[#This Row],[月]]&lt;=3,W_カレンダー[[#This Row],[暦年]]-1,W_カレンダー[[#This Row],[暦年]])</f>
        <v>2027</v>
      </c>
      <c r="E1715" s="1" t="str">
        <f>IF(W_カレンダー[[#This Row],[月]]&lt;=3,"Q4",IF(W_カレンダー[[#This Row],[月]]&lt;=6,"Q1",IF(W_カレンダー[[#This Row],[月]]&lt;=9,"Q2","Q3")))</f>
        <v>Q3</v>
      </c>
    </row>
    <row r="1716" spans="1:5" ht="18" customHeight="1" x14ac:dyDescent="0.25">
      <c r="A1716" s="27">
        <v>46731</v>
      </c>
      <c r="B1716" s="29">
        <f>MONTH(W_カレンダー[[#This Row],[日付]])</f>
        <v>12</v>
      </c>
      <c r="C1716" s="1">
        <f>YEAR(W_カレンダー[[#This Row],[日付]])</f>
        <v>2027</v>
      </c>
      <c r="D1716" s="1">
        <f>IF(W_カレンダー[[#This Row],[月]]&lt;=3,W_カレンダー[[#This Row],[暦年]]-1,W_カレンダー[[#This Row],[暦年]])</f>
        <v>2027</v>
      </c>
      <c r="E1716" s="1" t="str">
        <f>IF(W_カレンダー[[#This Row],[月]]&lt;=3,"Q4",IF(W_カレンダー[[#This Row],[月]]&lt;=6,"Q1",IF(W_カレンダー[[#This Row],[月]]&lt;=9,"Q2","Q3")))</f>
        <v>Q3</v>
      </c>
    </row>
    <row r="1717" spans="1:5" ht="18" customHeight="1" x14ac:dyDescent="0.25">
      <c r="A1717" s="27">
        <v>46732</v>
      </c>
      <c r="B1717" s="29">
        <f>MONTH(W_カレンダー[[#This Row],[日付]])</f>
        <v>12</v>
      </c>
      <c r="C1717" s="1">
        <f>YEAR(W_カレンダー[[#This Row],[日付]])</f>
        <v>2027</v>
      </c>
      <c r="D1717" s="1">
        <f>IF(W_カレンダー[[#This Row],[月]]&lt;=3,W_カレンダー[[#This Row],[暦年]]-1,W_カレンダー[[#This Row],[暦年]])</f>
        <v>2027</v>
      </c>
      <c r="E1717" s="1" t="str">
        <f>IF(W_カレンダー[[#This Row],[月]]&lt;=3,"Q4",IF(W_カレンダー[[#This Row],[月]]&lt;=6,"Q1",IF(W_カレンダー[[#This Row],[月]]&lt;=9,"Q2","Q3")))</f>
        <v>Q3</v>
      </c>
    </row>
    <row r="1718" spans="1:5" ht="18" customHeight="1" x14ac:dyDescent="0.25">
      <c r="A1718" s="27">
        <v>46733</v>
      </c>
      <c r="B1718" s="29">
        <f>MONTH(W_カレンダー[[#This Row],[日付]])</f>
        <v>12</v>
      </c>
      <c r="C1718" s="1">
        <f>YEAR(W_カレンダー[[#This Row],[日付]])</f>
        <v>2027</v>
      </c>
      <c r="D1718" s="1">
        <f>IF(W_カレンダー[[#This Row],[月]]&lt;=3,W_カレンダー[[#This Row],[暦年]]-1,W_カレンダー[[#This Row],[暦年]])</f>
        <v>2027</v>
      </c>
      <c r="E1718" s="1" t="str">
        <f>IF(W_カレンダー[[#This Row],[月]]&lt;=3,"Q4",IF(W_カレンダー[[#This Row],[月]]&lt;=6,"Q1",IF(W_カレンダー[[#This Row],[月]]&lt;=9,"Q2","Q3")))</f>
        <v>Q3</v>
      </c>
    </row>
    <row r="1719" spans="1:5" ht="18" customHeight="1" x14ac:dyDescent="0.25">
      <c r="A1719" s="27">
        <v>46734</v>
      </c>
      <c r="B1719" s="29">
        <f>MONTH(W_カレンダー[[#This Row],[日付]])</f>
        <v>12</v>
      </c>
      <c r="C1719" s="1">
        <f>YEAR(W_カレンダー[[#This Row],[日付]])</f>
        <v>2027</v>
      </c>
      <c r="D1719" s="1">
        <f>IF(W_カレンダー[[#This Row],[月]]&lt;=3,W_カレンダー[[#This Row],[暦年]]-1,W_カレンダー[[#This Row],[暦年]])</f>
        <v>2027</v>
      </c>
      <c r="E1719" s="1" t="str">
        <f>IF(W_カレンダー[[#This Row],[月]]&lt;=3,"Q4",IF(W_カレンダー[[#This Row],[月]]&lt;=6,"Q1",IF(W_カレンダー[[#This Row],[月]]&lt;=9,"Q2","Q3")))</f>
        <v>Q3</v>
      </c>
    </row>
    <row r="1720" spans="1:5" ht="18" customHeight="1" x14ac:dyDescent="0.25">
      <c r="A1720" s="27">
        <v>46735</v>
      </c>
      <c r="B1720" s="29">
        <f>MONTH(W_カレンダー[[#This Row],[日付]])</f>
        <v>12</v>
      </c>
      <c r="C1720" s="1">
        <f>YEAR(W_カレンダー[[#This Row],[日付]])</f>
        <v>2027</v>
      </c>
      <c r="D1720" s="1">
        <f>IF(W_カレンダー[[#This Row],[月]]&lt;=3,W_カレンダー[[#This Row],[暦年]]-1,W_カレンダー[[#This Row],[暦年]])</f>
        <v>2027</v>
      </c>
      <c r="E1720" s="1" t="str">
        <f>IF(W_カレンダー[[#This Row],[月]]&lt;=3,"Q4",IF(W_カレンダー[[#This Row],[月]]&lt;=6,"Q1",IF(W_カレンダー[[#This Row],[月]]&lt;=9,"Q2","Q3")))</f>
        <v>Q3</v>
      </c>
    </row>
    <row r="1721" spans="1:5" ht="18" customHeight="1" x14ac:dyDescent="0.25">
      <c r="A1721" s="27">
        <v>46736</v>
      </c>
      <c r="B1721" s="29">
        <f>MONTH(W_カレンダー[[#This Row],[日付]])</f>
        <v>12</v>
      </c>
      <c r="C1721" s="1">
        <f>YEAR(W_カレンダー[[#This Row],[日付]])</f>
        <v>2027</v>
      </c>
      <c r="D1721" s="1">
        <f>IF(W_カレンダー[[#This Row],[月]]&lt;=3,W_カレンダー[[#This Row],[暦年]]-1,W_カレンダー[[#This Row],[暦年]])</f>
        <v>2027</v>
      </c>
      <c r="E1721" s="1" t="str">
        <f>IF(W_カレンダー[[#This Row],[月]]&lt;=3,"Q4",IF(W_カレンダー[[#This Row],[月]]&lt;=6,"Q1",IF(W_カレンダー[[#This Row],[月]]&lt;=9,"Q2","Q3")))</f>
        <v>Q3</v>
      </c>
    </row>
    <row r="1722" spans="1:5" ht="18" customHeight="1" x14ac:dyDescent="0.25">
      <c r="A1722" s="27">
        <v>46737</v>
      </c>
      <c r="B1722" s="29">
        <f>MONTH(W_カレンダー[[#This Row],[日付]])</f>
        <v>12</v>
      </c>
      <c r="C1722" s="1">
        <f>YEAR(W_カレンダー[[#This Row],[日付]])</f>
        <v>2027</v>
      </c>
      <c r="D1722" s="1">
        <f>IF(W_カレンダー[[#This Row],[月]]&lt;=3,W_カレンダー[[#This Row],[暦年]]-1,W_カレンダー[[#This Row],[暦年]])</f>
        <v>2027</v>
      </c>
      <c r="E1722" s="1" t="str">
        <f>IF(W_カレンダー[[#This Row],[月]]&lt;=3,"Q4",IF(W_カレンダー[[#This Row],[月]]&lt;=6,"Q1",IF(W_カレンダー[[#This Row],[月]]&lt;=9,"Q2","Q3")))</f>
        <v>Q3</v>
      </c>
    </row>
    <row r="1723" spans="1:5" ht="18" customHeight="1" x14ac:dyDescent="0.25">
      <c r="A1723" s="27">
        <v>46738</v>
      </c>
      <c r="B1723" s="29">
        <f>MONTH(W_カレンダー[[#This Row],[日付]])</f>
        <v>12</v>
      </c>
      <c r="C1723" s="1">
        <f>YEAR(W_カレンダー[[#This Row],[日付]])</f>
        <v>2027</v>
      </c>
      <c r="D1723" s="1">
        <f>IF(W_カレンダー[[#This Row],[月]]&lt;=3,W_カレンダー[[#This Row],[暦年]]-1,W_カレンダー[[#This Row],[暦年]])</f>
        <v>2027</v>
      </c>
      <c r="E1723" s="1" t="str">
        <f>IF(W_カレンダー[[#This Row],[月]]&lt;=3,"Q4",IF(W_カレンダー[[#This Row],[月]]&lt;=6,"Q1",IF(W_カレンダー[[#This Row],[月]]&lt;=9,"Q2","Q3")))</f>
        <v>Q3</v>
      </c>
    </row>
    <row r="1724" spans="1:5" ht="18" customHeight="1" x14ac:dyDescent="0.25">
      <c r="A1724" s="27">
        <v>46739</v>
      </c>
      <c r="B1724" s="29">
        <f>MONTH(W_カレンダー[[#This Row],[日付]])</f>
        <v>12</v>
      </c>
      <c r="C1724" s="1">
        <f>YEAR(W_カレンダー[[#This Row],[日付]])</f>
        <v>2027</v>
      </c>
      <c r="D1724" s="1">
        <f>IF(W_カレンダー[[#This Row],[月]]&lt;=3,W_カレンダー[[#This Row],[暦年]]-1,W_カレンダー[[#This Row],[暦年]])</f>
        <v>2027</v>
      </c>
      <c r="E1724" s="1" t="str">
        <f>IF(W_カレンダー[[#This Row],[月]]&lt;=3,"Q4",IF(W_カレンダー[[#This Row],[月]]&lt;=6,"Q1",IF(W_カレンダー[[#This Row],[月]]&lt;=9,"Q2","Q3")))</f>
        <v>Q3</v>
      </c>
    </row>
    <row r="1725" spans="1:5" ht="18" customHeight="1" x14ac:dyDescent="0.25">
      <c r="A1725" s="27">
        <v>46740</v>
      </c>
      <c r="B1725" s="29">
        <f>MONTH(W_カレンダー[[#This Row],[日付]])</f>
        <v>12</v>
      </c>
      <c r="C1725" s="1">
        <f>YEAR(W_カレンダー[[#This Row],[日付]])</f>
        <v>2027</v>
      </c>
      <c r="D1725" s="1">
        <f>IF(W_カレンダー[[#This Row],[月]]&lt;=3,W_カレンダー[[#This Row],[暦年]]-1,W_カレンダー[[#This Row],[暦年]])</f>
        <v>2027</v>
      </c>
      <c r="E1725" s="1" t="str">
        <f>IF(W_カレンダー[[#This Row],[月]]&lt;=3,"Q4",IF(W_カレンダー[[#This Row],[月]]&lt;=6,"Q1",IF(W_カレンダー[[#This Row],[月]]&lt;=9,"Q2","Q3")))</f>
        <v>Q3</v>
      </c>
    </row>
    <row r="1726" spans="1:5" ht="18" customHeight="1" x14ac:dyDescent="0.25">
      <c r="A1726" s="27">
        <v>46741</v>
      </c>
      <c r="B1726" s="29">
        <f>MONTH(W_カレンダー[[#This Row],[日付]])</f>
        <v>12</v>
      </c>
      <c r="C1726" s="1">
        <f>YEAR(W_カレンダー[[#This Row],[日付]])</f>
        <v>2027</v>
      </c>
      <c r="D1726" s="1">
        <f>IF(W_カレンダー[[#This Row],[月]]&lt;=3,W_カレンダー[[#This Row],[暦年]]-1,W_カレンダー[[#This Row],[暦年]])</f>
        <v>2027</v>
      </c>
      <c r="E1726" s="1" t="str">
        <f>IF(W_カレンダー[[#This Row],[月]]&lt;=3,"Q4",IF(W_カレンダー[[#This Row],[月]]&lt;=6,"Q1",IF(W_カレンダー[[#This Row],[月]]&lt;=9,"Q2","Q3")))</f>
        <v>Q3</v>
      </c>
    </row>
    <row r="1727" spans="1:5" ht="18" customHeight="1" x14ac:dyDescent="0.25">
      <c r="A1727" s="27">
        <v>46742</v>
      </c>
      <c r="B1727" s="29">
        <f>MONTH(W_カレンダー[[#This Row],[日付]])</f>
        <v>12</v>
      </c>
      <c r="C1727" s="1">
        <f>YEAR(W_カレンダー[[#This Row],[日付]])</f>
        <v>2027</v>
      </c>
      <c r="D1727" s="1">
        <f>IF(W_カレンダー[[#This Row],[月]]&lt;=3,W_カレンダー[[#This Row],[暦年]]-1,W_カレンダー[[#This Row],[暦年]])</f>
        <v>2027</v>
      </c>
      <c r="E1727" s="1" t="str">
        <f>IF(W_カレンダー[[#This Row],[月]]&lt;=3,"Q4",IF(W_カレンダー[[#This Row],[月]]&lt;=6,"Q1",IF(W_カレンダー[[#This Row],[月]]&lt;=9,"Q2","Q3")))</f>
        <v>Q3</v>
      </c>
    </row>
    <row r="1728" spans="1:5" ht="18" customHeight="1" x14ac:dyDescent="0.25">
      <c r="A1728" s="27">
        <v>46743</v>
      </c>
      <c r="B1728" s="29">
        <f>MONTH(W_カレンダー[[#This Row],[日付]])</f>
        <v>12</v>
      </c>
      <c r="C1728" s="1">
        <f>YEAR(W_カレンダー[[#This Row],[日付]])</f>
        <v>2027</v>
      </c>
      <c r="D1728" s="1">
        <f>IF(W_カレンダー[[#This Row],[月]]&lt;=3,W_カレンダー[[#This Row],[暦年]]-1,W_カレンダー[[#This Row],[暦年]])</f>
        <v>2027</v>
      </c>
      <c r="E1728" s="1" t="str">
        <f>IF(W_カレンダー[[#This Row],[月]]&lt;=3,"Q4",IF(W_カレンダー[[#This Row],[月]]&lt;=6,"Q1",IF(W_カレンダー[[#This Row],[月]]&lt;=9,"Q2","Q3")))</f>
        <v>Q3</v>
      </c>
    </row>
    <row r="1729" spans="1:5" ht="18" customHeight="1" x14ac:dyDescent="0.25">
      <c r="A1729" s="27">
        <v>46744</v>
      </c>
      <c r="B1729" s="29">
        <f>MONTH(W_カレンダー[[#This Row],[日付]])</f>
        <v>12</v>
      </c>
      <c r="C1729" s="1">
        <f>YEAR(W_カレンダー[[#This Row],[日付]])</f>
        <v>2027</v>
      </c>
      <c r="D1729" s="1">
        <f>IF(W_カレンダー[[#This Row],[月]]&lt;=3,W_カレンダー[[#This Row],[暦年]]-1,W_カレンダー[[#This Row],[暦年]])</f>
        <v>2027</v>
      </c>
      <c r="E1729" s="1" t="str">
        <f>IF(W_カレンダー[[#This Row],[月]]&lt;=3,"Q4",IF(W_カレンダー[[#This Row],[月]]&lt;=6,"Q1",IF(W_カレンダー[[#This Row],[月]]&lt;=9,"Q2","Q3")))</f>
        <v>Q3</v>
      </c>
    </row>
    <row r="1730" spans="1:5" ht="18" customHeight="1" x14ac:dyDescent="0.25">
      <c r="A1730" s="27">
        <v>46745</v>
      </c>
      <c r="B1730" s="29">
        <f>MONTH(W_カレンダー[[#This Row],[日付]])</f>
        <v>12</v>
      </c>
      <c r="C1730" s="1">
        <f>YEAR(W_カレンダー[[#This Row],[日付]])</f>
        <v>2027</v>
      </c>
      <c r="D1730" s="1">
        <f>IF(W_カレンダー[[#This Row],[月]]&lt;=3,W_カレンダー[[#This Row],[暦年]]-1,W_カレンダー[[#This Row],[暦年]])</f>
        <v>2027</v>
      </c>
      <c r="E1730" s="1" t="str">
        <f>IF(W_カレンダー[[#This Row],[月]]&lt;=3,"Q4",IF(W_カレンダー[[#This Row],[月]]&lt;=6,"Q1",IF(W_カレンダー[[#This Row],[月]]&lt;=9,"Q2","Q3")))</f>
        <v>Q3</v>
      </c>
    </row>
    <row r="1731" spans="1:5" ht="18" customHeight="1" x14ac:dyDescent="0.25">
      <c r="A1731" s="27">
        <v>46746</v>
      </c>
      <c r="B1731" s="29">
        <f>MONTH(W_カレンダー[[#This Row],[日付]])</f>
        <v>12</v>
      </c>
      <c r="C1731" s="1">
        <f>YEAR(W_カレンダー[[#This Row],[日付]])</f>
        <v>2027</v>
      </c>
      <c r="D1731" s="1">
        <f>IF(W_カレンダー[[#This Row],[月]]&lt;=3,W_カレンダー[[#This Row],[暦年]]-1,W_カレンダー[[#This Row],[暦年]])</f>
        <v>2027</v>
      </c>
      <c r="E1731" s="1" t="str">
        <f>IF(W_カレンダー[[#This Row],[月]]&lt;=3,"Q4",IF(W_カレンダー[[#This Row],[月]]&lt;=6,"Q1",IF(W_カレンダー[[#This Row],[月]]&lt;=9,"Q2","Q3")))</f>
        <v>Q3</v>
      </c>
    </row>
    <row r="1732" spans="1:5" ht="18" customHeight="1" x14ac:dyDescent="0.25">
      <c r="A1732" s="27">
        <v>46747</v>
      </c>
      <c r="B1732" s="29">
        <f>MONTH(W_カレンダー[[#This Row],[日付]])</f>
        <v>12</v>
      </c>
      <c r="C1732" s="1">
        <f>YEAR(W_カレンダー[[#This Row],[日付]])</f>
        <v>2027</v>
      </c>
      <c r="D1732" s="1">
        <f>IF(W_カレンダー[[#This Row],[月]]&lt;=3,W_カレンダー[[#This Row],[暦年]]-1,W_カレンダー[[#This Row],[暦年]])</f>
        <v>2027</v>
      </c>
      <c r="E1732" s="1" t="str">
        <f>IF(W_カレンダー[[#This Row],[月]]&lt;=3,"Q4",IF(W_カレンダー[[#This Row],[月]]&lt;=6,"Q1",IF(W_カレンダー[[#This Row],[月]]&lt;=9,"Q2","Q3")))</f>
        <v>Q3</v>
      </c>
    </row>
    <row r="1733" spans="1:5" ht="18" customHeight="1" x14ac:dyDescent="0.25">
      <c r="A1733" s="27">
        <v>46748</v>
      </c>
      <c r="B1733" s="29">
        <f>MONTH(W_カレンダー[[#This Row],[日付]])</f>
        <v>12</v>
      </c>
      <c r="C1733" s="1">
        <f>YEAR(W_カレンダー[[#This Row],[日付]])</f>
        <v>2027</v>
      </c>
      <c r="D1733" s="1">
        <f>IF(W_カレンダー[[#This Row],[月]]&lt;=3,W_カレンダー[[#This Row],[暦年]]-1,W_カレンダー[[#This Row],[暦年]])</f>
        <v>2027</v>
      </c>
      <c r="E1733" s="1" t="str">
        <f>IF(W_カレンダー[[#This Row],[月]]&lt;=3,"Q4",IF(W_カレンダー[[#This Row],[月]]&lt;=6,"Q1",IF(W_カレンダー[[#This Row],[月]]&lt;=9,"Q2","Q3")))</f>
        <v>Q3</v>
      </c>
    </row>
    <row r="1734" spans="1:5" ht="18" customHeight="1" x14ac:dyDescent="0.25">
      <c r="A1734" s="27">
        <v>46749</v>
      </c>
      <c r="B1734" s="29">
        <f>MONTH(W_カレンダー[[#This Row],[日付]])</f>
        <v>12</v>
      </c>
      <c r="C1734" s="1">
        <f>YEAR(W_カレンダー[[#This Row],[日付]])</f>
        <v>2027</v>
      </c>
      <c r="D1734" s="1">
        <f>IF(W_カレンダー[[#This Row],[月]]&lt;=3,W_カレンダー[[#This Row],[暦年]]-1,W_カレンダー[[#This Row],[暦年]])</f>
        <v>2027</v>
      </c>
      <c r="E1734" s="1" t="str">
        <f>IF(W_カレンダー[[#This Row],[月]]&lt;=3,"Q4",IF(W_カレンダー[[#This Row],[月]]&lt;=6,"Q1",IF(W_カレンダー[[#This Row],[月]]&lt;=9,"Q2","Q3")))</f>
        <v>Q3</v>
      </c>
    </row>
    <row r="1735" spans="1:5" ht="18" customHeight="1" x14ac:dyDescent="0.25">
      <c r="A1735" s="27">
        <v>46750</v>
      </c>
      <c r="B1735" s="29">
        <f>MONTH(W_カレンダー[[#This Row],[日付]])</f>
        <v>12</v>
      </c>
      <c r="C1735" s="1">
        <f>YEAR(W_カレンダー[[#This Row],[日付]])</f>
        <v>2027</v>
      </c>
      <c r="D1735" s="1">
        <f>IF(W_カレンダー[[#This Row],[月]]&lt;=3,W_カレンダー[[#This Row],[暦年]]-1,W_カレンダー[[#This Row],[暦年]])</f>
        <v>2027</v>
      </c>
      <c r="E1735" s="1" t="str">
        <f>IF(W_カレンダー[[#This Row],[月]]&lt;=3,"Q4",IF(W_カレンダー[[#This Row],[月]]&lt;=6,"Q1",IF(W_カレンダー[[#This Row],[月]]&lt;=9,"Q2","Q3")))</f>
        <v>Q3</v>
      </c>
    </row>
    <row r="1736" spans="1:5" ht="18" customHeight="1" x14ac:dyDescent="0.25">
      <c r="A1736" s="27">
        <v>46751</v>
      </c>
      <c r="B1736" s="29">
        <f>MONTH(W_カレンダー[[#This Row],[日付]])</f>
        <v>12</v>
      </c>
      <c r="C1736" s="1">
        <f>YEAR(W_カレンダー[[#This Row],[日付]])</f>
        <v>2027</v>
      </c>
      <c r="D1736" s="1">
        <f>IF(W_カレンダー[[#This Row],[月]]&lt;=3,W_カレンダー[[#This Row],[暦年]]-1,W_カレンダー[[#This Row],[暦年]])</f>
        <v>2027</v>
      </c>
      <c r="E1736" s="1" t="str">
        <f>IF(W_カレンダー[[#This Row],[月]]&lt;=3,"Q4",IF(W_カレンダー[[#This Row],[月]]&lt;=6,"Q1",IF(W_カレンダー[[#This Row],[月]]&lt;=9,"Q2","Q3")))</f>
        <v>Q3</v>
      </c>
    </row>
    <row r="1737" spans="1:5" ht="18" customHeight="1" x14ac:dyDescent="0.25">
      <c r="A1737" s="27">
        <v>46752</v>
      </c>
      <c r="B1737" s="29">
        <f>MONTH(W_カレンダー[[#This Row],[日付]])</f>
        <v>12</v>
      </c>
      <c r="C1737" s="1">
        <f>YEAR(W_カレンダー[[#This Row],[日付]])</f>
        <v>2027</v>
      </c>
      <c r="D1737" s="1">
        <f>IF(W_カレンダー[[#This Row],[月]]&lt;=3,W_カレンダー[[#This Row],[暦年]]-1,W_カレンダー[[#This Row],[暦年]])</f>
        <v>2027</v>
      </c>
      <c r="E1737" s="1" t="str">
        <f>IF(W_カレンダー[[#This Row],[月]]&lt;=3,"Q4",IF(W_カレンダー[[#This Row],[月]]&lt;=6,"Q1",IF(W_カレンダー[[#This Row],[月]]&lt;=9,"Q2","Q3")))</f>
        <v>Q3</v>
      </c>
    </row>
    <row r="1738" spans="1:5" ht="18" customHeight="1" x14ac:dyDescent="0.25">
      <c r="A1738" s="27">
        <v>46753</v>
      </c>
      <c r="B1738" s="29">
        <f>MONTH(W_カレンダー[[#This Row],[日付]])</f>
        <v>1</v>
      </c>
      <c r="C1738" s="1">
        <f>YEAR(W_カレンダー[[#This Row],[日付]])</f>
        <v>2028</v>
      </c>
      <c r="D1738" s="1">
        <f>IF(W_カレンダー[[#This Row],[月]]&lt;=3,W_カレンダー[[#This Row],[暦年]]-1,W_カレンダー[[#This Row],[暦年]])</f>
        <v>2027</v>
      </c>
      <c r="E1738" s="1" t="str">
        <f>IF(W_カレンダー[[#This Row],[月]]&lt;=3,"Q4",IF(W_カレンダー[[#This Row],[月]]&lt;=6,"Q1",IF(W_カレンダー[[#This Row],[月]]&lt;=9,"Q2","Q3")))</f>
        <v>Q4</v>
      </c>
    </row>
    <row r="1739" spans="1:5" ht="18" customHeight="1" x14ac:dyDescent="0.25">
      <c r="A1739" s="27">
        <v>46754</v>
      </c>
      <c r="B1739" s="29">
        <f>MONTH(W_カレンダー[[#This Row],[日付]])</f>
        <v>1</v>
      </c>
      <c r="C1739" s="1">
        <f>YEAR(W_カレンダー[[#This Row],[日付]])</f>
        <v>2028</v>
      </c>
      <c r="D1739" s="1">
        <f>IF(W_カレンダー[[#This Row],[月]]&lt;=3,W_カレンダー[[#This Row],[暦年]]-1,W_カレンダー[[#This Row],[暦年]])</f>
        <v>2027</v>
      </c>
      <c r="E1739" s="1" t="str">
        <f>IF(W_カレンダー[[#This Row],[月]]&lt;=3,"Q4",IF(W_カレンダー[[#This Row],[月]]&lt;=6,"Q1",IF(W_カレンダー[[#This Row],[月]]&lt;=9,"Q2","Q3")))</f>
        <v>Q4</v>
      </c>
    </row>
    <row r="1740" spans="1:5" ht="18" customHeight="1" x14ac:dyDescent="0.25">
      <c r="A1740" s="27">
        <v>46755</v>
      </c>
      <c r="B1740" s="29">
        <f>MONTH(W_カレンダー[[#This Row],[日付]])</f>
        <v>1</v>
      </c>
      <c r="C1740" s="1">
        <f>YEAR(W_カレンダー[[#This Row],[日付]])</f>
        <v>2028</v>
      </c>
      <c r="D1740" s="1">
        <f>IF(W_カレンダー[[#This Row],[月]]&lt;=3,W_カレンダー[[#This Row],[暦年]]-1,W_カレンダー[[#This Row],[暦年]])</f>
        <v>2027</v>
      </c>
      <c r="E1740" s="1" t="str">
        <f>IF(W_カレンダー[[#This Row],[月]]&lt;=3,"Q4",IF(W_カレンダー[[#This Row],[月]]&lt;=6,"Q1",IF(W_カレンダー[[#This Row],[月]]&lt;=9,"Q2","Q3")))</f>
        <v>Q4</v>
      </c>
    </row>
    <row r="1741" spans="1:5" ht="18" customHeight="1" x14ac:dyDescent="0.25">
      <c r="A1741" s="27">
        <v>46756</v>
      </c>
      <c r="B1741" s="29">
        <f>MONTH(W_カレンダー[[#This Row],[日付]])</f>
        <v>1</v>
      </c>
      <c r="C1741" s="1">
        <f>YEAR(W_カレンダー[[#This Row],[日付]])</f>
        <v>2028</v>
      </c>
      <c r="D1741" s="1">
        <f>IF(W_カレンダー[[#This Row],[月]]&lt;=3,W_カレンダー[[#This Row],[暦年]]-1,W_カレンダー[[#This Row],[暦年]])</f>
        <v>2027</v>
      </c>
      <c r="E1741" s="1" t="str">
        <f>IF(W_カレンダー[[#This Row],[月]]&lt;=3,"Q4",IF(W_カレンダー[[#This Row],[月]]&lt;=6,"Q1",IF(W_カレンダー[[#This Row],[月]]&lt;=9,"Q2","Q3")))</f>
        <v>Q4</v>
      </c>
    </row>
    <row r="1742" spans="1:5" ht="18" customHeight="1" x14ac:dyDescent="0.25">
      <c r="A1742" s="27">
        <v>46757</v>
      </c>
      <c r="B1742" s="29">
        <f>MONTH(W_カレンダー[[#This Row],[日付]])</f>
        <v>1</v>
      </c>
      <c r="C1742" s="1">
        <f>YEAR(W_カレンダー[[#This Row],[日付]])</f>
        <v>2028</v>
      </c>
      <c r="D1742" s="1">
        <f>IF(W_カレンダー[[#This Row],[月]]&lt;=3,W_カレンダー[[#This Row],[暦年]]-1,W_カレンダー[[#This Row],[暦年]])</f>
        <v>2027</v>
      </c>
      <c r="E1742" s="1" t="str">
        <f>IF(W_カレンダー[[#This Row],[月]]&lt;=3,"Q4",IF(W_カレンダー[[#This Row],[月]]&lt;=6,"Q1",IF(W_カレンダー[[#This Row],[月]]&lt;=9,"Q2","Q3")))</f>
        <v>Q4</v>
      </c>
    </row>
    <row r="1743" spans="1:5" ht="18" customHeight="1" x14ac:dyDescent="0.25">
      <c r="A1743" s="27">
        <v>46758</v>
      </c>
      <c r="B1743" s="29">
        <f>MONTH(W_カレンダー[[#This Row],[日付]])</f>
        <v>1</v>
      </c>
      <c r="C1743" s="1">
        <f>YEAR(W_カレンダー[[#This Row],[日付]])</f>
        <v>2028</v>
      </c>
      <c r="D1743" s="1">
        <f>IF(W_カレンダー[[#This Row],[月]]&lt;=3,W_カレンダー[[#This Row],[暦年]]-1,W_カレンダー[[#This Row],[暦年]])</f>
        <v>2027</v>
      </c>
      <c r="E1743" s="1" t="str">
        <f>IF(W_カレンダー[[#This Row],[月]]&lt;=3,"Q4",IF(W_カレンダー[[#This Row],[月]]&lt;=6,"Q1",IF(W_カレンダー[[#This Row],[月]]&lt;=9,"Q2","Q3")))</f>
        <v>Q4</v>
      </c>
    </row>
    <row r="1744" spans="1:5" ht="18" customHeight="1" x14ac:dyDescent="0.25">
      <c r="A1744" s="27">
        <v>46759</v>
      </c>
      <c r="B1744" s="29">
        <f>MONTH(W_カレンダー[[#This Row],[日付]])</f>
        <v>1</v>
      </c>
      <c r="C1744" s="1">
        <f>YEAR(W_カレンダー[[#This Row],[日付]])</f>
        <v>2028</v>
      </c>
      <c r="D1744" s="1">
        <f>IF(W_カレンダー[[#This Row],[月]]&lt;=3,W_カレンダー[[#This Row],[暦年]]-1,W_カレンダー[[#This Row],[暦年]])</f>
        <v>2027</v>
      </c>
      <c r="E1744" s="1" t="str">
        <f>IF(W_カレンダー[[#This Row],[月]]&lt;=3,"Q4",IF(W_カレンダー[[#This Row],[月]]&lt;=6,"Q1",IF(W_カレンダー[[#This Row],[月]]&lt;=9,"Q2","Q3")))</f>
        <v>Q4</v>
      </c>
    </row>
    <row r="1745" spans="1:5" ht="18" customHeight="1" x14ac:dyDescent="0.25">
      <c r="A1745" s="27">
        <v>46760</v>
      </c>
      <c r="B1745" s="29">
        <f>MONTH(W_カレンダー[[#This Row],[日付]])</f>
        <v>1</v>
      </c>
      <c r="C1745" s="1">
        <f>YEAR(W_カレンダー[[#This Row],[日付]])</f>
        <v>2028</v>
      </c>
      <c r="D1745" s="1">
        <f>IF(W_カレンダー[[#This Row],[月]]&lt;=3,W_カレンダー[[#This Row],[暦年]]-1,W_カレンダー[[#This Row],[暦年]])</f>
        <v>2027</v>
      </c>
      <c r="E1745" s="1" t="str">
        <f>IF(W_カレンダー[[#This Row],[月]]&lt;=3,"Q4",IF(W_カレンダー[[#This Row],[月]]&lt;=6,"Q1",IF(W_カレンダー[[#This Row],[月]]&lt;=9,"Q2","Q3")))</f>
        <v>Q4</v>
      </c>
    </row>
    <row r="1746" spans="1:5" ht="18" customHeight="1" x14ac:dyDescent="0.25">
      <c r="A1746" s="27">
        <v>46761</v>
      </c>
      <c r="B1746" s="29">
        <f>MONTH(W_カレンダー[[#This Row],[日付]])</f>
        <v>1</v>
      </c>
      <c r="C1746" s="1">
        <f>YEAR(W_カレンダー[[#This Row],[日付]])</f>
        <v>2028</v>
      </c>
      <c r="D1746" s="1">
        <f>IF(W_カレンダー[[#This Row],[月]]&lt;=3,W_カレンダー[[#This Row],[暦年]]-1,W_カレンダー[[#This Row],[暦年]])</f>
        <v>2027</v>
      </c>
      <c r="E1746" s="1" t="str">
        <f>IF(W_カレンダー[[#This Row],[月]]&lt;=3,"Q4",IF(W_カレンダー[[#This Row],[月]]&lt;=6,"Q1",IF(W_カレンダー[[#This Row],[月]]&lt;=9,"Q2","Q3")))</f>
        <v>Q4</v>
      </c>
    </row>
    <row r="1747" spans="1:5" ht="18" customHeight="1" x14ac:dyDescent="0.25">
      <c r="A1747" s="27">
        <v>46762</v>
      </c>
      <c r="B1747" s="29">
        <f>MONTH(W_カレンダー[[#This Row],[日付]])</f>
        <v>1</v>
      </c>
      <c r="C1747" s="1">
        <f>YEAR(W_カレンダー[[#This Row],[日付]])</f>
        <v>2028</v>
      </c>
      <c r="D1747" s="1">
        <f>IF(W_カレンダー[[#This Row],[月]]&lt;=3,W_カレンダー[[#This Row],[暦年]]-1,W_カレンダー[[#This Row],[暦年]])</f>
        <v>2027</v>
      </c>
      <c r="E1747" s="1" t="str">
        <f>IF(W_カレンダー[[#This Row],[月]]&lt;=3,"Q4",IF(W_カレンダー[[#This Row],[月]]&lt;=6,"Q1",IF(W_カレンダー[[#This Row],[月]]&lt;=9,"Q2","Q3")))</f>
        <v>Q4</v>
      </c>
    </row>
    <row r="1748" spans="1:5" ht="18" customHeight="1" x14ac:dyDescent="0.25">
      <c r="A1748" s="27">
        <v>46763</v>
      </c>
      <c r="B1748" s="29">
        <f>MONTH(W_カレンダー[[#This Row],[日付]])</f>
        <v>1</v>
      </c>
      <c r="C1748" s="1">
        <f>YEAR(W_カレンダー[[#This Row],[日付]])</f>
        <v>2028</v>
      </c>
      <c r="D1748" s="1">
        <f>IF(W_カレンダー[[#This Row],[月]]&lt;=3,W_カレンダー[[#This Row],[暦年]]-1,W_カレンダー[[#This Row],[暦年]])</f>
        <v>2027</v>
      </c>
      <c r="E1748" s="1" t="str">
        <f>IF(W_カレンダー[[#This Row],[月]]&lt;=3,"Q4",IF(W_カレンダー[[#This Row],[月]]&lt;=6,"Q1",IF(W_カレンダー[[#This Row],[月]]&lt;=9,"Q2","Q3")))</f>
        <v>Q4</v>
      </c>
    </row>
    <row r="1749" spans="1:5" ht="18" customHeight="1" x14ac:dyDescent="0.25">
      <c r="A1749" s="27">
        <v>46764</v>
      </c>
      <c r="B1749" s="29">
        <f>MONTH(W_カレンダー[[#This Row],[日付]])</f>
        <v>1</v>
      </c>
      <c r="C1749" s="1">
        <f>YEAR(W_カレンダー[[#This Row],[日付]])</f>
        <v>2028</v>
      </c>
      <c r="D1749" s="1">
        <f>IF(W_カレンダー[[#This Row],[月]]&lt;=3,W_カレンダー[[#This Row],[暦年]]-1,W_カレンダー[[#This Row],[暦年]])</f>
        <v>2027</v>
      </c>
      <c r="E1749" s="1" t="str">
        <f>IF(W_カレンダー[[#This Row],[月]]&lt;=3,"Q4",IF(W_カレンダー[[#This Row],[月]]&lt;=6,"Q1",IF(W_カレンダー[[#This Row],[月]]&lt;=9,"Q2","Q3")))</f>
        <v>Q4</v>
      </c>
    </row>
    <row r="1750" spans="1:5" ht="18" customHeight="1" x14ac:dyDescent="0.25">
      <c r="A1750" s="27">
        <v>46765</v>
      </c>
      <c r="B1750" s="29">
        <f>MONTH(W_カレンダー[[#This Row],[日付]])</f>
        <v>1</v>
      </c>
      <c r="C1750" s="1">
        <f>YEAR(W_カレンダー[[#This Row],[日付]])</f>
        <v>2028</v>
      </c>
      <c r="D1750" s="1">
        <f>IF(W_カレンダー[[#This Row],[月]]&lt;=3,W_カレンダー[[#This Row],[暦年]]-1,W_カレンダー[[#This Row],[暦年]])</f>
        <v>2027</v>
      </c>
      <c r="E1750" s="1" t="str">
        <f>IF(W_カレンダー[[#This Row],[月]]&lt;=3,"Q4",IF(W_カレンダー[[#This Row],[月]]&lt;=6,"Q1",IF(W_カレンダー[[#This Row],[月]]&lt;=9,"Q2","Q3")))</f>
        <v>Q4</v>
      </c>
    </row>
    <row r="1751" spans="1:5" ht="18" customHeight="1" x14ac:dyDescent="0.25">
      <c r="A1751" s="27">
        <v>46766</v>
      </c>
      <c r="B1751" s="29">
        <f>MONTH(W_カレンダー[[#This Row],[日付]])</f>
        <v>1</v>
      </c>
      <c r="C1751" s="1">
        <f>YEAR(W_カレンダー[[#This Row],[日付]])</f>
        <v>2028</v>
      </c>
      <c r="D1751" s="1">
        <f>IF(W_カレンダー[[#This Row],[月]]&lt;=3,W_カレンダー[[#This Row],[暦年]]-1,W_カレンダー[[#This Row],[暦年]])</f>
        <v>2027</v>
      </c>
      <c r="E1751" s="1" t="str">
        <f>IF(W_カレンダー[[#This Row],[月]]&lt;=3,"Q4",IF(W_カレンダー[[#This Row],[月]]&lt;=6,"Q1",IF(W_カレンダー[[#This Row],[月]]&lt;=9,"Q2","Q3")))</f>
        <v>Q4</v>
      </c>
    </row>
    <row r="1752" spans="1:5" ht="18" customHeight="1" x14ac:dyDescent="0.25">
      <c r="A1752" s="27">
        <v>46767</v>
      </c>
      <c r="B1752" s="29">
        <f>MONTH(W_カレンダー[[#This Row],[日付]])</f>
        <v>1</v>
      </c>
      <c r="C1752" s="1">
        <f>YEAR(W_カレンダー[[#This Row],[日付]])</f>
        <v>2028</v>
      </c>
      <c r="D1752" s="1">
        <f>IF(W_カレンダー[[#This Row],[月]]&lt;=3,W_カレンダー[[#This Row],[暦年]]-1,W_カレンダー[[#This Row],[暦年]])</f>
        <v>2027</v>
      </c>
      <c r="E1752" s="1" t="str">
        <f>IF(W_カレンダー[[#This Row],[月]]&lt;=3,"Q4",IF(W_カレンダー[[#This Row],[月]]&lt;=6,"Q1",IF(W_カレンダー[[#This Row],[月]]&lt;=9,"Q2","Q3")))</f>
        <v>Q4</v>
      </c>
    </row>
    <row r="1753" spans="1:5" ht="18" customHeight="1" x14ac:dyDescent="0.25">
      <c r="A1753" s="27">
        <v>46768</v>
      </c>
      <c r="B1753" s="29">
        <f>MONTH(W_カレンダー[[#This Row],[日付]])</f>
        <v>1</v>
      </c>
      <c r="C1753" s="1">
        <f>YEAR(W_カレンダー[[#This Row],[日付]])</f>
        <v>2028</v>
      </c>
      <c r="D1753" s="1">
        <f>IF(W_カレンダー[[#This Row],[月]]&lt;=3,W_カレンダー[[#This Row],[暦年]]-1,W_カレンダー[[#This Row],[暦年]])</f>
        <v>2027</v>
      </c>
      <c r="E1753" s="1" t="str">
        <f>IF(W_カレンダー[[#This Row],[月]]&lt;=3,"Q4",IF(W_カレンダー[[#This Row],[月]]&lt;=6,"Q1",IF(W_カレンダー[[#This Row],[月]]&lt;=9,"Q2","Q3")))</f>
        <v>Q4</v>
      </c>
    </row>
    <row r="1754" spans="1:5" ht="18" customHeight="1" x14ac:dyDescent="0.25">
      <c r="A1754" s="27">
        <v>46769</v>
      </c>
      <c r="B1754" s="29">
        <f>MONTH(W_カレンダー[[#This Row],[日付]])</f>
        <v>1</v>
      </c>
      <c r="C1754" s="1">
        <f>YEAR(W_カレンダー[[#This Row],[日付]])</f>
        <v>2028</v>
      </c>
      <c r="D1754" s="1">
        <f>IF(W_カレンダー[[#This Row],[月]]&lt;=3,W_カレンダー[[#This Row],[暦年]]-1,W_カレンダー[[#This Row],[暦年]])</f>
        <v>2027</v>
      </c>
      <c r="E1754" s="1" t="str">
        <f>IF(W_カレンダー[[#This Row],[月]]&lt;=3,"Q4",IF(W_カレンダー[[#This Row],[月]]&lt;=6,"Q1",IF(W_カレンダー[[#This Row],[月]]&lt;=9,"Q2","Q3")))</f>
        <v>Q4</v>
      </c>
    </row>
    <row r="1755" spans="1:5" ht="18" customHeight="1" x14ac:dyDescent="0.25">
      <c r="A1755" s="27">
        <v>46770</v>
      </c>
      <c r="B1755" s="29">
        <f>MONTH(W_カレンダー[[#This Row],[日付]])</f>
        <v>1</v>
      </c>
      <c r="C1755" s="1">
        <f>YEAR(W_カレンダー[[#This Row],[日付]])</f>
        <v>2028</v>
      </c>
      <c r="D1755" s="1">
        <f>IF(W_カレンダー[[#This Row],[月]]&lt;=3,W_カレンダー[[#This Row],[暦年]]-1,W_カレンダー[[#This Row],[暦年]])</f>
        <v>2027</v>
      </c>
      <c r="E1755" s="1" t="str">
        <f>IF(W_カレンダー[[#This Row],[月]]&lt;=3,"Q4",IF(W_カレンダー[[#This Row],[月]]&lt;=6,"Q1",IF(W_カレンダー[[#This Row],[月]]&lt;=9,"Q2","Q3")))</f>
        <v>Q4</v>
      </c>
    </row>
    <row r="1756" spans="1:5" ht="18" customHeight="1" x14ac:dyDescent="0.25">
      <c r="A1756" s="27">
        <v>46771</v>
      </c>
      <c r="B1756" s="29">
        <f>MONTH(W_カレンダー[[#This Row],[日付]])</f>
        <v>1</v>
      </c>
      <c r="C1756" s="1">
        <f>YEAR(W_カレンダー[[#This Row],[日付]])</f>
        <v>2028</v>
      </c>
      <c r="D1756" s="1">
        <f>IF(W_カレンダー[[#This Row],[月]]&lt;=3,W_カレンダー[[#This Row],[暦年]]-1,W_カレンダー[[#This Row],[暦年]])</f>
        <v>2027</v>
      </c>
      <c r="E1756" s="1" t="str">
        <f>IF(W_カレンダー[[#This Row],[月]]&lt;=3,"Q4",IF(W_カレンダー[[#This Row],[月]]&lt;=6,"Q1",IF(W_カレンダー[[#This Row],[月]]&lt;=9,"Q2","Q3")))</f>
        <v>Q4</v>
      </c>
    </row>
    <row r="1757" spans="1:5" ht="18" customHeight="1" x14ac:dyDescent="0.25">
      <c r="A1757" s="27">
        <v>46772</v>
      </c>
      <c r="B1757" s="29">
        <f>MONTH(W_カレンダー[[#This Row],[日付]])</f>
        <v>1</v>
      </c>
      <c r="C1757" s="1">
        <f>YEAR(W_カレンダー[[#This Row],[日付]])</f>
        <v>2028</v>
      </c>
      <c r="D1757" s="1">
        <f>IF(W_カレンダー[[#This Row],[月]]&lt;=3,W_カレンダー[[#This Row],[暦年]]-1,W_カレンダー[[#This Row],[暦年]])</f>
        <v>2027</v>
      </c>
      <c r="E1757" s="1" t="str">
        <f>IF(W_カレンダー[[#This Row],[月]]&lt;=3,"Q4",IF(W_カレンダー[[#This Row],[月]]&lt;=6,"Q1",IF(W_カレンダー[[#This Row],[月]]&lt;=9,"Q2","Q3")))</f>
        <v>Q4</v>
      </c>
    </row>
    <row r="1758" spans="1:5" ht="18" customHeight="1" x14ac:dyDescent="0.25">
      <c r="A1758" s="27">
        <v>46773</v>
      </c>
      <c r="B1758" s="29">
        <f>MONTH(W_カレンダー[[#This Row],[日付]])</f>
        <v>1</v>
      </c>
      <c r="C1758" s="1">
        <f>YEAR(W_カレンダー[[#This Row],[日付]])</f>
        <v>2028</v>
      </c>
      <c r="D1758" s="1">
        <f>IF(W_カレンダー[[#This Row],[月]]&lt;=3,W_カレンダー[[#This Row],[暦年]]-1,W_カレンダー[[#This Row],[暦年]])</f>
        <v>2027</v>
      </c>
      <c r="E1758" s="1" t="str">
        <f>IF(W_カレンダー[[#This Row],[月]]&lt;=3,"Q4",IF(W_カレンダー[[#This Row],[月]]&lt;=6,"Q1",IF(W_カレンダー[[#This Row],[月]]&lt;=9,"Q2","Q3")))</f>
        <v>Q4</v>
      </c>
    </row>
    <row r="1759" spans="1:5" ht="18" customHeight="1" x14ac:dyDescent="0.25">
      <c r="A1759" s="27">
        <v>46774</v>
      </c>
      <c r="B1759" s="29">
        <f>MONTH(W_カレンダー[[#This Row],[日付]])</f>
        <v>1</v>
      </c>
      <c r="C1759" s="1">
        <f>YEAR(W_カレンダー[[#This Row],[日付]])</f>
        <v>2028</v>
      </c>
      <c r="D1759" s="1">
        <f>IF(W_カレンダー[[#This Row],[月]]&lt;=3,W_カレンダー[[#This Row],[暦年]]-1,W_カレンダー[[#This Row],[暦年]])</f>
        <v>2027</v>
      </c>
      <c r="E1759" s="1" t="str">
        <f>IF(W_カレンダー[[#This Row],[月]]&lt;=3,"Q4",IF(W_カレンダー[[#This Row],[月]]&lt;=6,"Q1",IF(W_カレンダー[[#This Row],[月]]&lt;=9,"Q2","Q3")))</f>
        <v>Q4</v>
      </c>
    </row>
    <row r="1760" spans="1:5" ht="18" customHeight="1" x14ac:dyDescent="0.25">
      <c r="A1760" s="27">
        <v>46775</v>
      </c>
      <c r="B1760" s="29">
        <f>MONTH(W_カレンダー[[#This Row],[日付]])</f>
        <v>1</v>
      </c>
      <c r="C1760" s="1">
        <f>YEAR(W_カレンダー[[#This Row],[日付]])</f>
        <v>2028</v>
      </c>
      <c r="D1760" s="1">
        <f>IF(W_カレンダー[[#This Row],[月]]&lt;=3,W_カレンダー[[#This Row],[暦年]]-1,W_カレンダー[[#This Row],[暦年]])</f>
        <v>2027</v>
      </c>
      <c r="E1760" s="1" t="str">
        <f>IF(W_カレンダー[[#This Row],[月]]&lt;=3,"Q4",IF(W_カレンダー[[#This Row],[月]]&lt;=6,"Q1",IF(W_カレンダー[[#This Row],[月]]&lt;=9,"Q2","Q3")))</f>
        <v>Q4</v>
      </c>
    </row>
    <row r="1761" spans="1:5" ht="18" customHeight="1" x14ac:dyDescent="0.25">
      <c r="A1761" s="27">
        <v>46776</v>
      </c>
      <c r="B1761" s="29">
        <f>MONTH(W_カレンダー[[#This Row],[日付]])</f>
        <v>1</v>
      </c>
      <c r="C1761" s="1">
        <f>YEAR(W_カレンダー[[#This Row],[日付]])</f>
        <v>2028</v>
      </c>
      <c r="D1761" s="1">
        <f>IF(W_カレンダー[[#This Row],[月]]&lt;=3,W_カレンダー[[#This Row],[暦年]]-1,W_カレンダー[[#This Row],[暦年]])</f>
        <v>2027</v>
      </c>
      <c r="E1761" s="1" t="str">
        <f>IF(W_カレンダー[[#This Row],[月]]&lt;=3,"Q4",IF(W_カレンダー[[#This Row],[月]]&lt;=6,"Q1",IF(W_カレンダー[[#This Row],[月]]&lt;=9,"Q2","Q3")))</f>
        <v>Q4</v>
      </c>
    </row>
    <row r="1762" spans="1:5" ht="18" customHeight="1" x14ac:dyDescent="0.25">
      <c r="A1762" s="27">
        <v>46777</v>
      </c>
      <c r="B1762" s="29">
        <f>MONTH(W_カレンダー[[#This Row],[日付]])</f>
        <v>1</v>
      </c>
      <c r="C1762" s="1">
        <f>YEAR(W_カレンダー[[#This Row],[日付]])</f>
        <v>2028</v>
      </c>
      <c r="D1762" s="1">
        <f>IF(W_カレンダー[[#This Row],[月]]&lt;=3,W_カレンダー[[#This Row],[暦年]]-1,W_カレンダー[[#This Row],[暦年]])</f>
        <v>2027</v>
      </c>
      <c r="E1762" s="1" t="str">
        <f>IF(W_カレンダー[[#This Row],[月]]&lt;=3,"Q4",IF(W_カレンダー[[#This Row],[月]]&lt;=6,"Q1",IF(W_カレンダー[[#This Row],[月]]&lt;=9,"Q2","Q3")))</f>
        <v>Q4</v>
      </c>
    </row>
    <row r="1763" spans="1:5" ht="18" customHeight="1" x14ac:dyDescent="0.25">
      <c r="A1763" s="27">
        <v>46778</v>
      </c>
      <c r="B1763" s="29">
        <f>MONTH(W_カレンダー[[#This Row],[日付]])</f>
        <v>1</v>
      </c>
      <c r="C1763" s="1">
        <f>YEAR(W_カレンダー[[#This Row],[日付]])</f>
        <v>2028</v>
      </c>
      <c r="D1763" s="1">
        <f>IF(W_カレンダー[[#This Row],[月]]&lt;=3,W_カレンダー[[#This Row],[暦年]]-1,W_カレンダー[[#This Row],[暦年]])</f>
        <v>2027</v>
      </c>
      <c r="E1763" s="1" t="str">
        <f>IF(W_カレンダー[[#This Row],[月]]&lt;=3,"Q4",IF(W_カレンダー[[#This Row],[月]]&lt;=6,"Q1",IF(W_カレンダー[[#This Row],[月]]&lt;=9,"Q2","Q3")))</f>
        <v>Q4</v>
      </c>
    </row>
    <row r="1764" spans="1:5" ht="18" customHeight="1" x14ac:dyDescent="0.25">
      <c r="A1764" s="27">
        <v>46779</v>
      </c>
      <c r="B1764" s="29">
        <f>MONTH(W_カレンダー[[#This Row],[日付]])</f>
        <v>1</v>
      </c>
      <c r="C1764" s="1">
        <f>YEAR(W_カレンダー[[#This Row],[日付]])</f>
        <v>2028</v>
      </c>
      <c r="D1764" s="1">
        <f>IF(W_カレンダー[[#This Row],[月]]&lt;=3,W_カレンダー[[#This Row],[暦年]]-1,W_カレンダー[[#This Row],[暦年]])</f>
        <v>2027</v>
      </c>
      <c r="E1764" s="1" t="str">
        <f>IF(W_カレンダー[[#This Row],[月]]&lt;=3,"Q4",IF(W_カレンダー[[#This Row],[月]]&lt;=6,"Q1",IF(W_カレンダー[[#This Row],[月]]&lt;=9,"Q2","Q3")))</f>
        <v>Q4</v>
      </c>
    </row>
    <row r="1765" spans="1:5" ht="18" customHeight="1" x14ac:dyDescent="0.25">
      <c r="A1765" s="27">
        <v>46780</v>
      </c>
      <c r="B1765" s="29">
        <f>MONTH(W_カレンダー[[#This Row],[日付]])</f>
        <v>1</v>
      </c>
      <c r="C1765" s="1">
        <f>YEAR(W_カレンダー[[#This Row],[日付]])</f>
        <v>2028</v>
      </c>
      <c r="D1765" s="1">
        <f>IF(W_カレンダー[[#This Row],[月]]&lt;=3,W_カレンダー[[#This Row],[暦年]]-1,W_カレンダー[[#This Row],[暦年]])</f>
        <v>2027</v>
      </c>
      <c r="E1765" s="1" t="str">
        <f>IF(W_カレンダー[[#This Row],[月]]&lt;=3,"Q4",IF(W_カレンダー[[#This Row],[月]]&lt;=6,"Q1",IF(W_カレンダー[[#This Row],[月]]&lt;=9,"Q2","Q3")))</f>
        <v>Q4</v>
      </c>
    </row>
    <row r="1766" spans="1:5" ht="18" customHeight="1" x14ac:dyDescent="0.25">
      <c r="A1766" s="27">
        <v>46781</v>
      </c>
      <c r="B1766" s="29">
        <f>MONTH(W_カレンダー[[#This Row],[日付]])</f>
        <v>1</v>
      </c>
      <c r="C1766" s="1">
        <f>YEAR(W_カレンダー[[#This Row],[日付]])</f>
        <v>2028</v>
      </c>
      <c r="D1766" s="1">
        <f>IF(W_カレンダー[[#This Row],[月]]&lt;=3,W_カレンダー[[#This Row],[暦年]]-1,W_カレンダー[[#This Row],[暦年]])</f>
        <v>2027</v>
      </c>
      <c r="E1766" s="1" t="str">
        <f>IF(W_カレンダー[[#This Row],[月]]&lt;=3,"Q4",IF(W_カレンダー[[#This Row],[月]]&lt;=6,"Q1",IF(W_カレンダー[[#This Row],[月]]&lt;=9,"Q2","Q3")))</f>
        <v>Q4</v>
      </c>
    </row>
    <row r="1767" spans="1:5" ht="18" customHeight="1" x14ac:dyDescent="0.25">
      <c r="A1767" s="27">
        <v>46782</v>
      </c>
      <c r="B1767" s="29">
        <f>MONTH(W_カレンダー[[#This Row],[日付]])</f>
        <v>1</v>
      </c>
      <c r="C1767" s="1">
        <f>YEAR(W_カレンダー[[#This Row],[日付]])</f>
        <v>2028</v>
      </c>
      <c r="D1767" s="1">
        <f>IF(W_カレンダー[[#This Row],[月]]&lt;=3,W_カレンダー[[#This Row],[暦年]]-1,W_カレンダー[[#This Row],[暦年]])</f>
        <v>2027</v>
      </c>
      <c r="E1767" s="1" t="str">
        <f>IF(W_カレンダー[[#This Row],[月]]&lt;=3,"Q4",IF(W_カレンダー[[#This Row],[月]]&lt;=6,"Q1",IF(W_カレンダー[[#This Row],[月]]&lt;=9,"Q2","Q3")))</f>
        <v>Q4</v>
      </c>
    </row>
    <row r="1768" spans="1:5" ht="18" customHeight="1" x14ac:dyDescent="0.25">
      <c r="A1768" s="27">
        <v>46783</v>
      </c>
      <c r="B1768" s="29">
        <f>MONTH(W_カレンダー[[#This Row],[日付]])</f>
        <v>1</v>
      </c>
      <c r="C1768" s="1">
        <f>YEAR(W_カレンダー[[#This Row],[日付]])</f>
        <v>2028</v>
      </c>
      <c r="D1768" s="1">
        <f>IF(W_カレンダー[[#This Row],[月]]&lt;=3,W_カレンダー[[#This Row],[暦年]]-1,W_カレンダー[[#This Row],[暦年]])</f>
        <v>2027</v>
      </c>
      <c r="E1768" s="1" t="str">
        <f>IF(W_カレンダー[[#This Row],[月]]&lt;=3,"Q4",IF(W_カレンダー[[#This Row],[月]]&lt;=6,"Q1",IF(W_カレンダー[[#This Row],[月]]&lt;=9,"Q2","Q3")))</f>
        <v>Q4</v>
      </c>
    </row>
    <row r="1769" spans="1:5" ht="18" customHeight="1" x14ac:dyDescent="0.25">
      <c r="A1769" s="27">
        <v>46784</v>
      </c>
      <c r="B1769" s="29">
        <f>MONTH(W_カレンダー[[#This Row],[日付]])</f>
        <v>2</v>
      </c>
      <c r="C1769" s="1">
        <f>YEAR(W_カレンダー[[#This Row],[日付]])</f>
        <v>2028</v>
      </c>
      <c r="D1769" s="1">
        <f>IF(W_カレンダー[[#This Row],[月]]&lt;=3,W_カレンダー[[#This Row],[暦年]]-1,W_カレンダー[[#This Row],[暦年]])</f>
        <v>2027</v>
      </c>
      <c r="E1769" s="1" t="str">
        <f>IF(W_カレンダー[[#This Row],[月]]&lt;=3,"Q4",IF(W_カレンダー[[#This Row],[月]]&lt;=6,"Q1",IF(W_カレンダー[[#This Row],[月]]&lt;=9,"Q2","Q3")))</f>
        <v>Q4</v>
      </c>
    </row>
    <row r="1770" spans="1:5" ht="18" customHeight="1" x14ac:dyDescent="0.25">
      <c r="A1770" s="27">
        <v>46785</v>
      </c>
      <c r="B1770" s="29">
        <f>MONTH(W_カレンダー[[#This Row],[日付]])</f>
        <v>2</v>
      </c>
      <c r="C1770" s="1">
        <f>YEAR(W_カレンダー[[#This Row],[日付]])</f>
        <v>2028</v>
      </c>
      <c r="D1770" s="1">
        <f>IF(W_カレンダー[[#This Row],[月]]&lt;=3,W_カレンダー[[#This Row],[暦年]]-1,W_カレンダー[[#This Row],[暦年]])</f>
        <v>2027</v>
      </c>
      <c r="E1770" s="1" t="str">
        <f>IF(W_カレンダー[[#This Row],[月]]&lt;=3,"Q4",IF(W_カレンダー[[#This Row],[月]]&lt;=6,"Q1",IF(W_カレンダー[[#This Row],[月]]&lt;=9,"Q2","Q3")))</f>
        <v>Q4</v>
      </c>
    </row>
    <row r="1771" spans="1:5" ht="18" customHeight="1" x14ac:dyDescent="0.25">
      <c r="A1771" s="27">
        <v>46786</v>
      </c>
      <c r="B1771" s="29">
        <f>MONTH(W_カレンダー[[#This Row],[日付]])</f>
        <v>2</v>
      </c>
      <c r="C1771" s="1">
        <f>YEAR(W_カレンダー[[#This Row],[日付]])</f>
        <v>2028</v>
      </c>
      <c r="D1771" s="1">
        <f>IF(W_カレンダー[[#This Row],[月]]&lt;=3,W_カレンダー[[#This Row],[暦年]]-1,W_カレンダー[[#This Row],[暦年]])</f>
        <v>2027</v>
      </c>
      <c r="E1771" s="1" t="str">
        <f>IF(W_カレンダー[[#This Row],[月]]&lt;=3,"Q4",IF(W_カレンダー[[#This Row],[月]]&lt;=6,"Q1",IF(W_カレンダー[[#This Row],[月]]&lt;=9,"Q2","Q3")))</f>
        <v>Q4</v>
      </c>
    </row>
    <row r="1772" spans="1:5" ht="18" customHeight="1" x14ac:dyDescent="0.25">
      <c r="A1772" s="27">
        <v>46787</v>
      </c>
      <c r="B1772" s="29">
        <f>MONTH(W_カレンダー[[#This Row],[日付]])</f>
        <v>2</v>
      </c>
      <c r="C1772" s="1">
        <f>YEAR(W_カレンダー[[#This Row],[日付]])</f>
        <v>2028</v>
      </c>
      <c r="D1772" s="1">
        <f>IF(W_カレンダー[[#This Row],[月]]&lt;=3,W_カレンダー[[#This Row],[暦年]]-1,W_カレンダー[[#This Row],[暦年]])</f>
        <v>2027</v>
      </c>
      <c r="E1772" s="1" t="str">
        <f>IF(W_カレンダー[[#This Row],[月]]&lt;=3,"Q4",IF(W_カレンダー[[#This Row],[月]]&lt;=6,"Q1",IF(W_カレンダー[[#This Row],[月]]&lt;=9,"Q2","Q3")))</f>
        <v>Q4</v>
      </c>
    </row>
    <row r="1773" spans="1:5" ht="18" customHeight="1" x14ac:dyDescent="0.25">
      <c r="A1773" s="27">
        <v>46788</v>
      </c>
      <c r="B1773" s="29">
        <f>MONTH(W_カレンダー[[#This Row],[日付]])</f>
        <v>2</v>
      </c>
      <c r="C1773" s="1">
        <f>YEAR(W_カレンダー[[#This Row],[日付]])</f>
        <v>2028</v>
      </c>
      <c r="D1773" s="1">
        <f>IF(W_カレンダー[[#This Row],[月]]&lt;=3,W_カレンダー[[#This Row],[暦年]]-1,W_カレンダー[[#This Row],[暦年]])</f>
        <v>2027</v>
      </c>
      <c r="E1773" s="1" t="str">
        <f>IF(W_カレンダー[[#This Row],[月]]&lt;=3,"Q4",IF(W_カレンダー[[#This Row],[月]]&lt;=6,"Q1",IF(W_カレンダー[[#This Row],[月]]&lt;=9,"Q2","Q3")))</f>
        <v>Q4</v>
      </c>
    </row>
    <row r="1774" spans="1:5" ht="18" customHeight="1" x14ac:dyDescent="0.25">
      <c r="A1774" s="27">
        <v>46789</v>
      </c>
      <c r="B1774" s="29">
        <f>MONTH(W_カレンダー[[#This Row],[日付]])</f>
        <v>2</v>
      </c>
      <c r="C1774" s="1">
        <f>YEAR(W_カレンダー[[#This Row],[日付]])</f>
        <v>2028</v>
      </c>
      <c r="D1774" s="1">
        <f>IF(W_カレンダー[[#This Row],[月]]&lt;=3,W_カレンダー[[#This Row],[暦年]]-1,W_カレンダー[[#This Row],[暦年]])</f>
        <v>2027</v>
      </c>
      <c r="E1774" s="1" t="str">
        <f>IF(W_カレンダー[[#This Row],[月]]&lt;=3,"Q4",IF(W_カレンダー[[#This Row],[月]]&lt;=6,"Q1",IF(W_カレンダー[[#This Row],[月]]&lt;=9,"Q2","Q3")))</f>
        <v>Q4</v>
      </c>
    </row>
    <row r="1775" spans="1:5" ht="18" customHeight="1" x14ac:dyDescent="0.25">
      <c r="A1775" s="27">
        <v>46790</v>
      </c>
      <c r="B1775" s="29">
        <f>MONTH(W_カレンダー[[#This Row],[日付]])</f>
        <v>2</v>
      </c>
      <c r="C1775" s="1">
        <f>YEAR(W_カレンダー[[#This Row],[日付]])</f>
        <v>2028</v>
      </c>
      <c r="D1775" s="1">
        <f>IF(W_カレンダー[[#This Row],[月]]&lt;=3,W_カレンダー[[#This Row],[暦年]]-1,W_カレンダー[[#This Row],[暦年]])</f>
        <v>2027</v>
      </c>
      <c r="E1775" s="1" t="str">
        <f>IF(W_カレンダー[[#This Row],[月]]&lt;=3,"Q4",IF(W_カレンダー[[#This Row],[月]]&lt;=6,"Q1",IF(W_カレンダー[[#This Row],[月]]&lt;=9,"Q2","Q3")))</f>
        <v>Q4</v>
      </c>
    </row>
    <row r="1776" spans="1:5" ht="18" customHeight="1" x14ac:dyDescent="0.25">
      <c r="A1776" s="27">
        <v>46791</v>
      </c>
      <c r="B1776" s="29">
        <f>MONTH(W_カレンダー[[#This Row],[日付]])</f>
        <v>2</v>
      </c>
      <c r="C1776" s="1">
        <f>YEAR(W_カレンダー[[#This Row],[日付]])</f>
        <v>2028</v>
      </c>
      <c r="D1776" s="1">
        <f>IF(W_カレンダー[[#This Row],[月]]&lt;=3,W_カレンダー[[#This Row],[暦年]]-1,W_カレンダー[[#This Row],[暦年]])</f>
        <v>2027</v>
      </c>
      <c r="E1776" s="1" t="str">
        <f>IF(W_カレンダー[[#This Row],[月]]&lt;=3,"Q4",IF(W_カレンダー[[#This Row],[月]]&lt;=6,"Q1",IF(W_カレンダー[[#This Row],[月]]&lt;=9,"Q2","Q3")))</f>
        <v>Q4</v>
      </c>
    </row>
    <row r="1777" spans="1:5" ht="18" customHeight="1" x14ac:dyDescent="0.25">
      <c r="A1777" s="27">
        <v>46792</v>
      </c>
      <c r="B1777" s="29">
        <f>MONTH(W_カレンダー[[#This Row],[日付]])</f>
        <v>2</v>
      </c>
      <c r="C1777" s="1">
        <f>YEAR(W_カレンダー[[#This Row],[日付]])</f>
        <v>2028</v>
      </c>
      <c r="D1777" s="1">
        <f>IF(W_カレンダー[[#This Row],[月]]&lt;=3,W_カレンダー[[#This Row],[暦年]]-1,W_カレンダー[[#This Row],[暦年]])</f>
        <v>2027</v>
      </c>
      <c r="E1777" s="1" t="str">
        <f>IF(W_カレンダー[[#This Row],[月]]&lt;=3,"Q4",IF(W_カレンダー[[#This Row],[月]]&lt;=6,"Q1",IF(W_カレンダー[[#This Row],[月]]&lt;=9,"Q2","Q3")))</f>
        <v>Q4</v>
      </c>
    </row>
    <row r="1778" spans="1:5" ht="18" customHeight="1" x14ac:dyDescent="0.25">
      <c r="A1778" s="27">
        <v>46793</v>
      </c>
      <c r="B1778" s="29">
        <f>MONTH(W_カレンダー[[#This Row],[日付]])</f>
        <v>2</v>
      </c>
      <c r="C1778" s="1">
        <f>YEAR(W_カレンダー[[#This Row],[日付]])</f>
        <v>2028</v>
      </c>
      <c r="D1778" s="1">
        <f>IF(W_カレンダー[[#This Row],[月]]&lt;=3,W_カレンダー[[#This Row],[暦年]]-1,W_カレンダー[[#This Row],[暦年]])</f>
        <v>2027</v>
      </c>
      <c r="E1778" s="1" t="str">
        <f>IF(W_カレンダー[[#This Row],[月]]&lt;=3,"Q4",IF(W_カレンダー[[#This Row],[月]]&lt;=6,"Q1",IF(W_カレンダー[[#This Row],[月]]&lt;=9,"Q2","Q3")))</f>
        <v>Q4</v>
      </c>
    </row>
    <row r="1779" spans="1:5" ht="18" customHeight="1" x14ac:dyDescent="0.25">
      <c r="A1779" s="27">
        <v>46794</v>
      </c>
      <c r="B1779" s="29">
        <f>MONTH(W_カレンダー[[#This Row],[日付]])</f>
        <v>2</v>
      </c>
      <c r="C1779" s="1">
        <f>YEAR(W_カレンダー[[#This Row],[日付]])</f>
        <v>2028</v>
      </c>
      <c r="D1779" s="1">
        <f>IF(W_カレンダー[[#This Row],[月]]&lt;=3,W_カレンダー[[#This Row],[暦年]]-1,W_カレンダー[[#This Row],[暦年]])</f>
        <v>2027</v>
      </c>
      <c r="E1779" s="1" t="str">
        <f>IF(W_カレンダー[[#This Row],[月]]&lt;=3,"Q4",IF(W_カレンダー[[#This Row],[月]]&lt;=6,"Q1",IF(W_カレンダー[[#This Row],[月]]&lt;=9,"Q2","Q3")))</f>
        <v>Q4</v>
      </c>
    </row>
    <row r="1780" spans="1:5" ht="18" customHeight="1" x14ac:dyDescent="0.25">
      <c r="A1780" s="27">
        <v>46795</v>
      </c>
      <c r="B1780" s="29">
        <f>MONTH(W_カレンダー[[#This Row],[日付]])</f>
        <v>2</v>
      </c>
      <c r="C1780" s="1">
        <f>YEAR(W_カレンダー[[#This Row],[日付]])</f>
        <v>2028</v>
      </c>
      <c r="D1780" s="1">
        <f>IF(W_カレンダー[[#This Row],[月]]&lt;=3,W_カレンダー[[#This Row],[暦年]]-1,W_カレンダー[[#This Row],[暦年]])</f>
        <v>2027</v>
      </c>
      <c r="E1780" s="1" t="str">
        <f>IF(W_カレンダー[[#This Row],[月]]&lt;=3,"Q4",IF(W_カレンダー[[#This Row],[月]]&lt;=6,"Q1",IF(W_カレンダー[[#This Row],[月]]&lt;=9,"Q2","Q3")))</f>
        <v>Q4</v>
      </c>
    </row>
    <row r="1781" spans="1:5" ht="18" customHeight="1" x14ac:dyDescent="0.25">
      <c r="A1781" s="27">
        <v>46796</v>
      </c>
      <c r="B1781" s="29">
        <f>MONTH(W_カレンダー[[#This Row],[日付]])</f>
        <v>2</v>
      </c>
      <c r="C1781" s="1">
        <f>YEAR(W_カレンダー[[#This Row],[日付]])</f>
        <v>2028</v>
      </c>
      <c r="D1781" s="1">
        <f>IF(W_カレンダー[[#This Row],[月]]&lt;=3,W_カレンダー[[#This Row],[暦年]]-1,W_カレンダー[[#This Row],[暦年]])</f>
        <v>2027</v>
      </c>
      <c r="E1781" s="1" t="str">
        <f>IF(W_カレンダー[[#This Row],[月]]&lt;=3,"Q4",IF(W_カレンダー[[#This Row],[月]]&lt;=6,"Q1",IF(W_カレンダー[[#This Row],[月]]&lt;=9,"Q2","Q3")))</f>
        <v>Q4</v>
      </c>
    </row>
    <row r="1782" spans="1:5" ht="18" customHeight="1" x14ac:dyDescent="0.25">
      <c r="A1782" s="27">
        <v>46797</v>
      </c>
      <c r="B1782" s="29">
        <f>MONTH(W_カレンダー[[#This Row],[日付]])</f>
        <v>2</v>
      </c>
      <c r="C1782" s="1">
        <f>YEAR(W_カレンダー[[#This Row],[日付]])</f>
        <v>2028</v>
      </c>
      <c r="D1782" s="1">
        <f>IF(W_カレンダー[[#This Row],[月]]&lt;=3,W_カレンダー[[#This Row],[暦年]]-1,W_カレンダー[[#This Row],[暦年]])</f>
        <v>2027</v>
      </c>
      <c r="E1782" s="1" t="str">
        <f>IF(W_カレンダー[[#This Row],[月]]&lt;=3,"Q4",IF(W_カレンダー[[#This Row],[月]]&lt;=6,"Q1",IF(W_カレンダー[[#This Row],[月]]&lt;=9,"Q2","Q3")))</f>
        <v>Q4</v>
      </c>
    </row>
    <row r="1783" spans="1:5" ht="18" customHeight="1" x14ac:dyDescent="0.25">
      <c r="A1783" s="27">
        <v>46798</v>
      </c>
      <c r="B1783" s="29">
        <f>MONTH(W_カレンダー[[#This Row],[日付]])</f>
        <v>2</v>
      </c>
      <c r="C1783" s="1">
        <f>YEAR(W_カレンダー[[#This Row],[日付]])</f>
        <v>2028</v>
      </c>
      <c r="D1783" s="1">
        <f>IF(W_カレンダー[[#This Row],[月]]&lt;=3,W_カレンダー[[#This Row],[暦年]]-1,W_カレンダー[[#This Row],[暦年]])</f>
        <v>2027</v>
      </c>
      <c r="E1783" s="1" t="str">
        <f>IF(W_カレンダー[[#This Row],[月]]&lt;=3,"Q4",IF(W_カレンダー[[#This Row],[月]]&lt;=6,"Q1",IF(W_カレンダー[[#This Row],[月]]&lt;=9,"Q2","Q3")))</f>
        <v>Q4</v>
      </c>
    </row>
    <row r="1784" spans="1:5" ht="18" customHeight="1" x14ac:dyDescent="0.25">
      <c r="A1784" s="27">
        <v>46799</v>
      </c>
      <c r="B1784" s="29">
        <f>MONTH(W_カレンダー[[#This Row],[日付]])</f>
        <v>2</v>
      </c>
      <c r="C1784" s="1">
        <f>YEAR(W_カレンダー[[#This Row],[日付]])</f>
        <v>2028</v>
      </c>
      <c r="D1784" s="1">
        <f>IF(W_カレンダー[[#This Row],[月]]&lt;=3,W_カレンダー[[#This Row],[暦年]]-1,W_カレンダー[[#This Row],[暦年]])</f>
        <v>2027</v>
      </c>
      <c r="E1784" s="1" t="str">
        <f>IF(W_カレンダー[[#This Row],[月]]&lt;=3,"Q4",IF(W_カレンダー[[#This Row],[月]]&lt;=6,"Q1",IF(W_カレンダー[[#This Row],[月]]&lt;=9,"Q2","Q3")))</f>
        <v>Q4</v>
      </c>
    </row>
    <row r="1785" spans="1:5" ht="18" customHeight="1" x14ac:dyDescent="0.25">
      <c r="A1785" s="27">
        <v>46800</v>
      </c>
      <c r="B1785" s="29">
        <f>MONTH(W_カレンダー[[#This Row],[日付]])</f>
        <v>2</v>
      </c>
      <c r="C1785" s="1">
        <f>YEAR(W_カレンダー[[#This Row],[日付]])</f>
        <v>2028</v>
      </c>
      <c r="D1785" s="1">
        <f>IF(W_カレンダー[[#This Row],[月]]&lt;=3,W_カレンダー[[#This Row],[暦年]]-1,W_カレンダー[[#This Row],[暦年]])</f>
        <v>2027</v>
      </c>
      <c r="E1785" s="1" t="str">
        <f>IF(W_カレンダー[[#This Row],[月]]&lt;=3,"Q4",IF(W_カレンダー[[#This Row],[月]]&lt;=6,"Q1",IF(W_カレンダー[[#This Row],[月]]&lt;=9,"Q2","Q3")))</f>
        <v>Q4</v>
      </c>
    </row>
    <row r="1786" spans="1:5" ht="18" customHeight="1" x14ac:dyDescent="0.25">
      <c r="A1786" s="27">
        <v>46801</v>
      </c>
      <c r="B1786" s="29">
        <f>MONTH(W_カレンダー[[#This Row],[日付]])</f>
        <v>2</v>
      </c>
      <c r="C1786" s="1">
        <f>YEAR(W_カレンダー[[#This Row],[日付]])</f>
        <v>2028</v>
      </c>
      <c r="D1786" s="1">
        <f>IF(W_カレンダー[[#This Row],[月]]&lt;=3,W_カレンダー[[#This Row],[暦年]]-1,W_カレンダー[[#This Row],[暦年]])</f>
        <v>2027</v>
      </c>
      <c r="E1786" s="1" t="str">
        <f>IF(W_カレンダー[[#This Row],[月]]&lt;=3,"Q4",IF(W_カレンダー[[#This Row],[月]]&lt;=6,"Q1",IF(W_カレンダー[[#This Row],[月]]&lt;=9,"Q2","Q3")))</f>
        <v>Q4</v>
      </c>
    </row>
    <row r="1787" spans="1:5" ht="18" customHeight="1" x14ac:dyDescent="0.25">
      <c r="A1787" s="27">
        <v>46802</v>
      </c>
      <c r="B1787" s="29">
        <f>MONTH(W_カレンダー[[#This Row],[日付]])</f>
        <v>2</v>
      </c>
      <c r="C1787" s="1">
        <f>YEAR(W_カレンダー[[#This Row],[日付]])</f>
        <v>2028</v>
      </c>
      <c r="D1787" s="1">
        <f>IF(W_カレンダー[[#This Row],[月]]&lt;=3,W_カレンダー[[#This Row],[暦年]]-1,W_カレンダー[[#This Row],[暦年]])</f>
        <v>2027</v>
      </c>
      <c r="E1787" s="1" t="str">
        <f>IF(W_カレンダー[[#This Row],[月]]&lt;=3,"Q4",IF(W_カレンダー[[#This Row],[月]]&lt;=6,"Q1",IF(W_カレンダー[[#This Row],[月]]&lt;=9,"Q2","Q3")))</f>
        <v>Q4</v>
      </c>
    </row>
    <row r="1788" spans="1:5" ht="18" customHeight="1" x14ac:dyDescent="0.25">
      <c r="A1788" s="27">
        <v>46803</v>
      </c>
      <c r="B1788" s="29">
        <f>MONTH(W_カレンダー[[#This Row],[日付]])</f>
        <v>2</v>
      </c>
      <c r="C1788" s="1">
        <f>YEAR(W_カレンダー[[#This Row],[日付]])</f>
        <v>2028</v>
      </c>
      <c r="D1788" s="1">
        <f>IF(W_カレンダー[[#This Row],[月]]&lt;=3,W_カレンダー[[#This Row],[暦年]]-1,W_カレンダー[[#This Row],[暦年]])</f>
        <v>2027</v>
      </c>
      <c r="E1788" s="1" t="str">
        <f>IF(W_カレンダー[[#This Row],[月]]&lt;=3,"Q4",IF(W_カレンダー[[#This Row],[月]]&lt;=6,"Q1",IF(W_カレンダー[[#This Row],[月]]&lt;=9,"Q2","Q3")))</f>
        <v>Q4</v>
      </c>
    </row>
    <row r="1789" spans="1:5" ht="18" customHeight="1" x14ac:dyDescent="0.25">
      <c r="A1789" s="27">
        <v>46804</v>
      </c>
      <c r="B1789" s="29">
        <f>MONTH(W_カレンダー[[#This Row],[日付]])</f>
        <v>2</v>
      </c>
      <c r="C1789" s="1">
        <f>YEAR(W_カレンダー[[#This Row],[日付]])</f>
        <v>2028</v>
      </c>
      <c r="D1789" s="1">
        <f>IF(W_カレンダー[[#This Row],[月]]&lt;=3,W_カレンダー[[#This Row],[暦年]]-1,W_カレンダー[[#This Row],[暦年]])</f>
        <v>2027</v>
      </c>
      <c r="E1789" s="1" t="str">
        <f>IF(W_カレンダー[[#This Row],[月]]&lt;=3,"Q4",IF(W_カレンダー[[#This Row],[月]]&lt;=6,"Q1",IF(W_カレンダー[[#This Row],[月]]&lt;=9,"Q2","Q3")))</f>
        <v>Q4</v>
      </c>
    </row>
    <row r="1790" spans="1:5" ht="18" customHeight="1" x14ac:dyDescent="0.25">
      <c r="A1790" s="27">
        <v>46805</v>
      </c>
      <c r="B1790" s="29">
        <f>MONTH(W_カレンダー[[#This Row],[日付]])</f>
        <v>2</v>
      </c>
      <c r="C1790" s="1">
        <f>YEAR(W_カレンダー[[#This Row],[日付]])</f>
        <v>2028</v>
      </c>
      <c r="D1790" s="1">
        <f>IF(W_カレンダー[[#This Row],[月]]&lt;=3,W_カレンダー[[#This Row],[暦年]]-1,W_カレンダー[[#This Row],[暦年]])</f>
        <v>2027</v>
      </c>
      <c r="E1790" s="1" t="str">
        <f>IF(W_カレンダー[[#This Row],[月]]&lt;=3,"Q4",IF(W_カレンダー[[#This Row],[月]]&lt;=6,"Q1",IF(W_カレンダー[[#This Row],[月]]&lt;=9,"Q2","Q3")))</f>
        <v>Q4</v>
      </c>
    </row>
    <row r="1791" spans="1:5" ht="18" customHeight="1" x14ac:dyDescent="0.25">
      <c r="A1791" s="27">
        <v>46806</v>
      </c>
      <c r="B1791" s="29">
        <f>MONTH(W_カレンダー[[#This Row],[日付]])</f>
        <v>2</v>
      </c>
      <c r="C1791" s="1">
        <f>YEAR(W_カレンダー[[#This Row],[日付]])</f>
        <v>2028</v>
      </c>
      <c r="D1791" s="1">
        <f>IF(W_カレンダー[[#This Row],[月]]&lt;=3,W_カレンダー[[#This Row],[暦年]]-1,W_カレンダー[[#This Row],[暦年]])</f>
        <v>2027</v>
      </c>
      <c r="E1791" s="1" t="str">
        <f>IF(W_カレンダー[[#This Row],[月]]&lt;=3,"Q4",IF(W_カレンダー[[#This Row],[月]]&lt;=6,"Q1",IF(W_カレンダー[[#This Row],[月]]&lt;=9,"Q2","Q3")))</f>
        <v>Q4</v>
      </c>
    </row>
    <row r="1792" spans="1:5" ht="18" customHeight="1" x14ac:dyDescent="0.25">
      <c r="A1792" s="27">
        <v>46807</v>
      </c>
      <c r="B1792" s="29">
        <f>MONTH(W_カレンダー[[#This Row],[日付]])</f>
        <v>2</v>
      </c>
      <c r="C1792" s="1">
        <f>YEAR(W_カレンダー[[#This Row],[日付]])</f>
        <v>2028</v>
      </c>
      <c r="D1792" s="1">
        <f>IF(W_カレンダー[[#This Row],[月]]&lt;=3,W_カレンダー[[#This Row],[暦年]]-1,W_カレンダー[[#This Row],[暦年]])</f>
        <v>2027</v>
      </c>
      <c r="E1792" s="1" t="str">
        <f>IF(W_カレンダー[[#This Row],[月]]&lt;=3,"Q4",IF(W_カレンダー[[#This Row],[月]]&lt;=6,"Q1",IF(W_カレンダー[[#This Row],[月]]&lt;=9,"Q2","Q3")))</f>
        <v>Q4</v>
      </c>
    </row>
    <row r="1793" spans="1:5" ht="18" customHeight="1" x14ac:dyDescent="0.25">
      <c r="A1793" s="27">
        <v>46808</v>
      </c>
      <c r="B1793" s="29">
        <f>MONTH(W_カレンダー[[#This Row],[日付]])</f>
        <v>2</v>
      </c>
      <c r="C1793" s="1">
        <f>YEAR(W_カレンダー[[#This Row],[日付]])</f>
        <v>2028</v>
      </c>
      <c r="D1793" s="1">
        <f>IF(W_カレンダー[[#This Row],[月]]&lt;=3,W_カレンダー[[#This Row],[暦年]]-1,W_カレンダー[[#This Row],[暦年]])</f>
        <v>2027</v>
      </c>
      <c r="E1793" s="1" t="str">
        <f>IF(W_カレンダー[[#This Row],[月]]&lt;=3,"Q4",IF(W_カレンダー[[#This Row],[月]]&lt;=6,"Q1",IF(W_カレンダー[[#This Row],[月]]&lt;=9,"Q2","Q3")))</f>
        <v>Q4</v>
      </c>
    </row>
    <row r="1794" spans="1:5" ht="18" customHeight="1" x14ac:dyDescent="0.25">
      <c r="A1794" s="27">
        <v>46809</v>
      </c>
      <c r="B1794" s="29">
        <f>MONTH(W_カレンダー[[#This Row],[日付]])</f>
        <v>2</v>
      </c>
      <c r="C1794" s="1">
        <f>YEAR(W_カレンダー[[#This Row],[日付]])</f>
        <v>2028</v>
      </c>
      <c r="D1794" s="1">
        <f>IF(W_カレンダー[[#This Row],[月]]&lt;=3,W_カレンダー[[#This Row],[暦年]]-1,W_カレンダー[[#This Row],[暦年]])</f>
        <v>2027</v>
      </c>
      <c r="E1794" s="1" t="str">
        <f>IF(W_カレンダー[[#This Row],[月]]&lt;=3,"Q4",IF(W_カレンダー[[#This Row],[月]]&lt;=6,"Q1",IF(W_カレンダー[[#This Row],[月]]&lt;=9,"Q2","Q3")))</f>
        <v>Q4</v>
      </c>
    </row>
    <row r="1795" spans="1:5" ht="18" customHeight="1" x14ac:dyDescent="0.25">
      <c r="A1795" s="27">
        <v>46810</v>
      </c>
      <c r="B1795" s="29">
        <f>MONTH(W_カレンダー[[#This Row],[日付]])</f>
        <v>2</v>
      </c>
      <c r="C1795" s="1">
        <f>YEAR(W_カレンダー[[#This Row],[日付]])</f>
        <v>2028</v>
      </c>
      <c r="D1795" s="1">
        <f>IF(W_カレンダー[[#This Row],[月]]&lt;=3,W_カレンダー[[#This Row],[暦年]]-1,W_カレンダー[[#This Row],[暦年]])</f>
        <v>2027</v>
      </c>
      <c r="E1795" s="1" t="str">
        <f>IF(W_カレンダー[[#This Row],[月]]&lt;=3,"Q4",IF(W_カレンダー[[#This Row],[月]]&lt;=6,"Q1",IF(W_カレンダー[[#This Row],[月]]&lt;=9,"Q2","Q3")))</f>
        <v>Q4</v>
      </c>
    </row>
    <row r="1796" spans="1:5" ht="18" customHeight="1" x14ac:dyDescent="0.25">
      <c r="A1796" s="27">
        <v>46811</v>
      </c>
      <c r="B1796" s="29">
        <f>MONTH(W_カレンダー[[#This Row],[日付]])</f>
        <v>2</v>
      </c>
      <c r="C1796" s="1">
        <f>YEAR(W_カレンダー[[#This Row],[日付]])</f>
        <v>2028</v>
      </c>
      <c r="D1796" s="1">
        <f>IF(W_カレンダー[[#This Row],[月]]&lt;=3,W_カレンダー[[#This Row],[暦年]]-1,W_カレンダー[[#This Row],[暦年]])</f>
        <v>2027</v>
      </c>
      <c r="E1796" s="1" t="str">
        <f>IF(W_カレンダー[[#This Row],[月]]&lt;=3,"Q4",IF(W_カレンダー[[#This Row],[月]]&lt;=6,"Q1",IF(W_カレンダー[[#This Row],[月]]&lt;=9,"Q2","Q3")))</f>
        <v>Q4</v>
      </c>
    </row>
    <row r="1797" spans="1:5" ht="18" customHeight="1" x14ac:dyDescent="0.25">
      <c r="A1797" s="27">
        <v>46812</v>
      </c>
      <c r="B1797" s="29">
        <f>MONTH(W_カレンダー[[#This Row],[日付]])</f>
        <v>2</v>
      </c>
      <c r="C1797" s="1">
        <f>YEAR(W_カレンダー[[#This Row],[日付]])</f>
        <v>2028</v>
      </c>
      <c r="D1797" s="1">
        <f>IF(W_カレンダー[[#This Row],[月]]&lt;=3,W_カレンダー[[#This Row],[暦年]]-1,W_カレンダー[[#This Row],[暦年]])</f>
        <v>2027</v>
      </c>
      <c r="E1797" s="1" t="str">
        <f>IF(W_カレンダー[[#This Row],[月]]&lt;=3,"Q4",IF(W_カレンダー[[#This Row],[月]]&lt;=6,"Q1",IF(W_カレンダー[[#This Row],[月]]&lt;=9,"Q2","Q3")))</f>
        <v>Q4</v>
      </c>
    </row>
    <row r="1798" spans="1:5" ht="18" customHeight="1" x14ac:dyDescent="0.25">
      <c r="A1798" s="27">
        <v>46813</v>
      </c>
      <c r="B1798" s="29">
        <f>MONTH(W_カレンダー[[#This Row],[日付]])</f>
        <v>3</v>
      </c>
      <c r="C1798" s="1">
        <f>YEAR(W_カレンダー[[#This Row],[日付]])</f>
        <v>2028</v>
      </c>
      <c r="D1798" s="1">
        <f>IF(W_カレンダー[[#This Row],[月]]&lt;=3,W_カレンダー[[#This Row],[暦年]]-1,W_カレンダー[[#This Row],[暦年]])</f>
        <v>2027</v>
      </c>
      <c r="E1798" s="1" t="str">
        <f>IF(W_カレンダー[[#This Row],[月]]&lt;=3,"Q4",IF(W_カレンダー[[#This Row],[月]]&lt;=6,"Q1",IF(W_カレンダー[[#This Row],[月]]&lt;=9,"Q2","Q3")))</f>
        <v>Q4</v>
      </c>
    </row>
    <row r="1799" spans="1:5" ht="18" customHeight="1" x14ac:dyDescent="0.25">
      <c r="A1799" s="27">
        <v>46814</v>
      </c>
      <c r="B1799" s="29">
        <f>MONTH(W_カレンダー[[#This Row],[日付]])</f>
        <v>3</v>
      </c>
      <c r="C1799" s="1">
        <f>YEAR(W_カレンダー[[#This Row],[日付]])</f>
        <v>2028</v>
      </c>
      <c r="D1799" s="1">
        <f>IF(W_カレンダー[[#This Row],[月]]&lt;=3,W_カレンダー[[#This Row],[暦年]]-1,W_カレンダー[[#This Row],[暦年]])</f>
        <v>2027</v>
      </c>
      <c r="E1799" s="1" t="str">
        <f>IF(W_カレンダー[[#This Row],[月]]&lt;=3,"Q4",IF(W_カレンダー[[#This Row],[月]]&lt;=6,"Q1",IF(W_カレンダー[[#This Row],[月]]&lt;=9,"Q2","Q3")))</f>
        <v>Q4</v>
      </c>
    </row>
    <row r="1800" spans="1:5" ht="18" customHeight="1" x14ac:dyDescent="0.25">
      <c r="A1800" s="27">
        <v>46815</v>
      </c>
      <c r="B1800" s="29">
        <f>MONTH(W_カレンダー[[#This Row],[日付]])</f>
        <v>3</v>
      </c>
      <c r="C1800" s="1">
        <f>YEAR(W_カレンダー[[#This Row],[日付]])</f>
        <v>2028</v>
      </c>
      <c r="D1800" s="1">
        <f>IF(W_カレンダー[[#This Row],[月]]&lt;=3,W_カレンダー[[#This Row],[暦年]]-1,W_カレンダー[[#This Row],[暦年]])</f>
        <v>2027</v>
      </c>
      <c r="E1800" s="1" t="str">
        <f>IF(W_カレンダー[[#This Row],[月]]&lt;=3,"Q4",IF(W_カレンダー[[#This Row],[月]]&lt;=6,"Q1",IF(W_カレンダー[[#This Row],[月]]&lt;=9,"Q2","Q3")))</f>
        <v>Q4</v>
      </c>
    </row>
    <row r="1801" spans="1:5" ht="18" customHeight="1" x14ac:dyDescent="0.25">
      <c r="A1801" s="27">
        <v>46816</v>
      </c>
      <c r="B1801" s="29">
        <f>MONTH(W_カレンダー[[#This Row],[日付]])</f>
        <v>3</v>
      </c>
      <c r="C1801" s="1">
        <f>YEAR(W_カレンダー[[#This Row],[日付]])</f>
        <v>2028</v>
      </c>
      <c r="D1801" s="1">
        <f>IF(W_カレンダー[[#This Row],[月]]&lt;=3,W_カレンダー[[#This Row],[暦年]]-1,W_カレンダー[[#This Row],[暦年]])</f>
        <v>2027</v>
      </c>
      <c r="E1801" s="1" t="str">
        <f>IF(W_カレンダー[[#This Row],[月]]&lt;=3,"Q4",IF(W_カレンダー[[#This Row],[月]]&lt;=6,"Q1",IF(W_カレンダー[[#This Row],[月]]&lt;=9,"Q2","Q3")))</f>
        <v>Q4</v>
      </c>
    </row>
    <row r="1802" spans="1:5" ht="18" customHeight="1" x14ac:dyDescent="0.25">
      <c r="A1802" s="27">
        <v>46817</v>
      </c>
      <c r="B1802" s="29">
        <f>MONTH(W_カレンダー[[#This Row],[日付]])</f>
        <v>3</v>
      </c>
      <c r="C1802" s="1">
        <f>YEAR(W_カレンダー[[#This Row],[日付]])</f>
        <v>2028</v>
      </c>
      <c r="D1802" s="1">
        <f>IF(W_カレンダー[[#This Row],[月]]&lt;=3,W_カレンダー[[#This Row],[暦年]]-1,W_カレンダー[[#This Row],[暦年]])</f>
        <v>2027</v>
      </c>
      <c r="E1802" s="1" t="str">
        <f>IF(W_カレンダー[[#This Row],[月]]&lt;=3,"Q4",IF(W_カレンダー[[#This Row],[月]]&lt;=6,"Q1",IF(W_カレンダー[[#This Row],[月]]&lt;=9,"Q2","Q3")))</f>
        <v>Q4</v>
      </c>
    </row>
    <row r="1803" spans="1:5" ht="18" customHeight="1" x14ac:dyDescent="0.25">
      <c r="A1803" s="27">
        <v>46818</v>
      </c>
      <c r="B1803" s="29">
        <f>MONTH(W_カレンダー[[#This Row],[日付]])</f>
        <v>3</v>
      </c>
      <c r="C1803" s="1">
        <f>YEAR(W_カレンダー[[#This Row],[日付]])</f>
        <v>2028</v>
      </c>
      <c r="D1803" s="1">
        <f>IF(W_カレンダー[[#This Row],[月]]&lt;=3,W_カレンダー[[#This Row],[暦年]]-1,W_カレンダー[[#This Row],[暦年]])</f>
        <v>2027</v>
      </c>
      <c r="E1803" s="1" t="str">
        <f>IF(W_カレンダー[[#This Row],[月]]&lt;=3,"Q4",IF(W_カレンダー[[#This Row],[月]]&lt;=6,"Q1",IF(W_カレンダー[[#This Row],[月]]&lt;=9,"Q2","Q3")))</f>
        <v>Q4</v>
      </c>
    </row>
    <row r="1804" spans="1:5" ht="18" customHeight="1" x14ac:dyDescent="0.25">
      <c r="A1804" s="27">
        <v>46819</v>
      </c>
      <c r="B1804" s="29">
        <f>MONTH(W_カレンダー[[#This Row],[日付]])</f>
        <v>3</v>
      </c>
      <c r="C1804" s="1">
        <f>YEAR(W_カレンダー[[#This Row],[日付]])</f>
        <v>2028</v>
      </c>
      <c r="D1804" s="1">
        <f>IF(W_カレンダー[[#This Row],[月]]&lt;=3,W_カレンダー[[#This Row],[暦年]]-1,W_カレンダー[[#This Row],[暦年]])</f>
        <v>2027</v>
      </c>
      <c r="E1804" s="1" t="str">
        <f>IF(W_カレンダー[[#This Row],[月]]&lt;=3,"Q4",IF(W_カレンダー[[#This Row],[月]]&lt;=6,"Q1",IF(W_カレンダー[[#This Row],[月]]&lt;=9,"Q2","Q3")))</f>
        <v>Q4</v>
      </c>
    </row>
    <row r="1805" spans="1:5" ht="18" customHeight="1" x14ac:dyDescent="0.25">
      <c r="A1805" s="27">
        <v>46820</v>
      </c>
      <c r="B1805" s="29">
        <f>MONTH(W_カレンダー[[#This Row],[日付]])</f>
        <v>3</v>
      </c>
      <c r="C1805" s="1">
        <f>YEAR(W_カレンダー[[#This Row],[日付]])</f>
        <v>2028</v>
      </c>
      <c r="D1805" s="1">
        <f>IF(W_カレンダー[[#This Row],[月]]&lt;=3,W_カレンダー[[#This Row],[暦年]]-1,W_カレンダー[[#This Row],[暦年]])</f>
        <v>2027</v>
      </c>
      <c r="E1805" s="1" t="str">
        <f>IF(W_カレンダー[[#This Row],[月]]&lt;=3,"Q4",IF(W_カレンダー[[#This Row],[月]]&lt;=6,"Q1",IF(W_カレンダー[[#This Row],[月]]&lt;=9,"Q2","Q3")))</f>
        <v>Q4</v>
      </c>
    </row>
    <row r="1806" spans="1:5" ht="18" customHeight="1" x14ac:dyDescent="0.25">
      <c r="A1806" s="27">
        <v>46821</v>
      </c>
      <c r="B1806" s="29">
        <f>MONTH(W_カレンダー[[#This Row],[日付]])</f>
        <v>3</v>
      </c>
      <c r="C1806" s="1">
        <f>YEAR(W_カレンダー[[#This Row],[日付]])</f>
        <v>2028</v>
      </c>
      <c r="D1806" s="1">
        <f>IF(W_カレンダー[[#This Row],[月]]&lt;=3,W_カレンダー[[#This Row],[暦年]]-1,W_カレンダー[[#This Row],[暦年]])</f>
        <v>2027</v>
      </c>
      <c r="E1806" s="1" t="str">
        <f>IF(W_カレンダー[[#This Row],[月]]&lt;=3,"Q4",IF(W_カレンダー[[#This Row],[月]]&lt;=6,"Q1",IF(W_カレンダー[[#This Row],[月]]&lt;=9,"Q2","Q3")))</f>
        <v>Q4</v>
      </c>
    </row>
    <row r="1807" spans="1:5" ht="18" customHeight="1" x14ac:dyDescent="0.25">
      <c r="A1807" s="27">
        <v>46822</v>
      </c>
      <c r="B1807" s="29">
        <f>MONTH(W_カレンダー[[#This Row],[日付]])</f>
        <v>3</v>
      </c>
      <c r="C1807" s="1">
        <f>YEAR(W_カレンダー[[#This Row],[日付]])</f>
        <v>2028</v>
      </c>
      <c r="D1807" s="1">
        <f>IF(W_カレンダー[[#This Row],[月]]&lt;=3,W_カレンダー[[#This Row],[暦年]]-1,W_カレンダー[[#This Row],[暦年]])</f>
        <v>2027</v>
      </c>
      <c r="E1807" s="1" t="str">
        <f>IF(W_カレンダー[[#This Row],[月]]&lt;=3,"Q4",IF(W_カレンダー[[#This Row],[月]]&lt;=6,"Q1",IF(W_カレンダー[[#This Row],[月]]&lt;=9,"Q2","Q3")))</f>
        <v>Q4</v>
      </c>
    </row>
    <row r="1808" spans="1:5" ht="18" customHeight="1" x14ac:dyDescent="0.25">
      <c r="A1808" s="27">
        <v>46823</v>
      </c>
      <c r="B1808" s="29">
        <f>MONTH(W_カレンダー[[#This Row],[日付]])</f>
        <v>3</v>
      </c>
      <c r="C1808" s="1">
        <f>YEAR(W_カレンダー[[#This Row],[日付]])</f>
        <v>2028</v>
      </c>
      <c r="D1808" s="1">
        <f>IF(W_カレンダー[[#This Row],[月]]&lt;=3,W_カレンダー[[#This Row],[暦年]]-1,W_カレンダー[[#This Row],[暦年]])</f>
        <v>2027</v>
      </c>
      <c r="E1808" s="1" t="str">
        <f>IF(W_カレンダー[[#This Row],[月]]&lt;=3,"Q4",IF(W_カレンダー[[#This Row],[月]]&lt;=6,"Q1",IF(W_カレンダー[[#This Row],[月]]&lt;=9,"Q2","Q3")))</f>
        <v>Q4</v>
      </c>
    </row>
    <row r="1809" spans="1:5" ht="18" customHeight="1" x14ac:dyDescent="0.25">
      <c r="A1809" s="27">
        <v>46824</v>
      </c>
      <c r="B1809" s="29">
        <f>MONTH(W_カレンダー[[#This Row],[日付]])</f>
        <v>3</v>
      </c>
      <c r="C1809" s="1">
        <f>YEAR(W_カレンダー[[#This Row],[日付]])</f>
        <v>2028</v>
      </c>
      <c r="D1809" s="1">
        <f>IF(W_カレンダー[[#This Row],[月]]&lt;=3,W_カレンダー[[#This Row],[暦年]]-1,W_カレンダー[[#This Row],[暦年]])</f>
        <v>2027</v>
      </c>
      <c r="E1809" s="1" t="str">
        <f>IF(W_カレンダー[[#This Row],[月]]&lt;=3,"Q4",IF(W_カレンダー[[#This Row],[月]]&lt;=6,"Q1",IF(W_カレンダー[[#This Row],[月]]&lt;=9,"Q2","Q3")))</f>
        <v>Q4</v>
      </c>
    </row>
    <row r="1810" spans="1:5" ht="18" customHeight="1" x14ac:dyDescent="0.25">
      <c r="A1810" s="27">
        <v>46825</v>
      </c>
      <c r="B1810" s="29">
        <f>MONTH(W_カレンダー[[#This Row],[日付]])</f>
        <v>3</v>
      </c>
      <c r="C1810" s="1">
        <f>YEAR(W_カレンダー[[#This Row],[日付]])</f>
        <v>2028</v>
      </c>
      <c r="D1810" s="1">
        <f>IF(W_カレンダー[[#This Row],[月]]&lt;=3,W_カレンダー[[#This Row],[暦年]]-1,W_カレンダー[[#This Row],[暦年]])</f>
        <v>2027</v>
      </c>
      <c r="E1810" s="1" t="str">
        <f>IF(W_カレンダー[[#This Row],[月]]&lt;=3,"Q4",IF(W_カレンダー[[#This Row],[月]]&lt;=6,"Q1",IF(W_カレンダー[[#This Row],[月]]&lt;=9,"Q2","Q3")))</f>
        <v>Q4</v>
      </c>
    </row>
    <row r="1811" spans="1:5" ht="18" customHeight="1" x14ac:dyDescent="0.25">
      <c r="A1811" s="27">
        <v>46826</v>
      </c>
      <c r="B1811" s="29">
        <f>MONTH(W_カレンダー[[#This Row],[日付]])</f>
        <v>3</v>
      </c>
      <c r="C1811" s="1">
        <f>YEAR(W_カレンダー[[#This Row],[日付]])</f>
        <v>2028</v>
      </c>
      <c r="D1811" s="1">
        <f>IF(W_カレンダー[[#This Row],[月]]&lt;=3,W_カレンダー[[#This Row],[暦年]]-1,W_カレンダー[[#This Row],[暦年]])</f>
        <v>2027</v>
      </c>
      <c r="E1811" s="1" t="str">
        <f>IF(W_カレンダー[[#This Row],[月]]&lt;=3,"Q4",IF(W_カレンダー[[#This Row],[月]]&lt;=6,"Q1",IF(W_カレンダー[[#This Row],[月]]&lt;=9,"Q2","Q3")))</f>
        <v>Q4</v>
      </c>
    </row>
    <row r="1812" spans="1:5" ht="18" customHeight="1" x14ac:dyDescent="0.25">
      <c r="A1812" s="27">
        <v>46827</v>
      </c>
      <c r="B1812" s="29">
        <f>MONTH(W_カレンダー[[#This Row],[日付]])</f>
        <v>3</v>
      </c>
      <c r="C1812" s="1">
        <f>YEAR(W_カレンダー[[#This Row],[日付]])</f>
        <v>2028</v>
      </c>
      <c r="D1812" s="1">
        <f>IF(W_カレンダー[[#This Row],[月]]&lt;=3,W_カレンダー[[#This Row],[暦年]]-1,W_カレンダー[[#This Row],[暦年]])</f>
        <v>2027</v>
      </c>
      <c r="E1812" s="1" t="str">
        <f>IF(W_カレンダー[[#This Row],[月]]&lt;=3,"Q4",IF(W_カレンダー[[#This Row],[月]]&lt;=6,"Q1",IF(W_カレンダー[[#This Row],[月]]&lt;=9,"Q2","Q3")))</f>
        <v>Q4</v>
      </c>
    </row>
    <row r="1813" spans="1:5" ht="18" customHeight="1" x14ac:dyDescent="0.25">
      <c r="A1813" s="27">
        <v>46828</v>
      </c>
      <c r="B1813" s="29">
        <f>MONTH(W_カレンダー[[#This Row],[日付]])</f>
        <v>3</v>
      </c>
      <c r="C1813" s="1">
        <f>YEAR(W_カレンダー[[#This Row],[日付]])</f>
        <v>2028</v>
      </c>
      <c r="D1813" s="1">
        <f>IF(W_カレンダー[[#This Row],[月]]&lt;=3,W_カレンダー[[#This Row],[暦年]]-1,W_カレンダー[[#This Row],[暦年]])</f>
        <v>2027</v>
      </c>
      <c r="E1813" s="1" t="str">
        <f>IF(W_カレンダー[[#This Row],[月]]&lt;=3,"Q4",IF(W_カレンダー[[#This Row],[月]]&lt;=6,"Q1",IF(W_カレンダー[[#This Row],[月]]&lt;=9,"Q2","Q3")))</f>
        <v>Q4</v>
      </c>
    </row>
    <row r="1814" spans="1:5" ht="18" customHeight="1" x14ac:dyDescent="0.25">
      <c r="A1814" s="27">
        <v>46829</v>
      </c>
      <c r="B1814" s="29">
        <f>MONTH(W_カレンダー[[#This Row],[日付]])</f>
        <v>3</v>
      </c>
      <c r="C1814" s="1">
        <f>YEAR(W_カレンダー[[#This Row],[日付]])</f>
        <v>2028</v>
      </c>
      <c r="D1814" s="1">
        <f>IF(W_カレンダー[[#This Row],[月]]&lt;=3,W_カレンダー[[#This Row],[暦年]]-1,W_カレンダー[[#This Row],[暦年]])</f>
        <v>2027</v>
      </c>
      <c r="E1814" s="1" t="str">
        <f>IF(W_カレンダー[[#This Row],[月]]&lt;=3,"Q4",IF(W_カレンダー[[#This Row],[月]]&lt;=6,"Q1",IF(W_カレンダー[[#This Row],[月]]&lt;=9,"Q2","Q3")))</f>
        <v>Q4</v>
      </c>
    </row>
    <row r="1815" spans="1:5" ht="18" customHeight="1" x14ac:dyDescent="0.25">
      <c r="A1815" s="27">
        <v>46830</v>
      </c>
      <c r="B1815" s="29">
        <f>MONTH(W_カレンダー[[#This Row],[日付]])</f>
        <v>3</v>
      </c>
      <c r="C1815" s="1">
        <f>YEAR(W_カレンダー[[#This Row],[日付]])</f>
        <v>2028</v>
      </c>
      <c r="D1815" s="1">
        <f>IF(W_カレンダー[[#This Row],[月]]&lt;=3,W_カレンダー[[#This Row],[暦年]]-1,W_カレンダー[[#This Row],[暦年]])</f>
        <v>2027</v>
      </c>
      <c r="E1815" s="1" t="str">
        <f>IF(W_カレンダー[[#This Row],[月]]&lt;=3,"Q4",IF(W_カレンダー[[#This Row],[月]]&lt;=6,"Q1",IF(W_カレンダー[[#This Row],[月]]&lt;=9,"Q2","Q3")))</f>
        <v>Q4</v>
      </c>
    </row>
    <row r="1816" spans="1:5" ht="18" customHeight="1" x14ac:dyDescent="0.25">
      <c r="A1816" s="27">
        <v>46831</v>
      </c>
      <c r="B1816" s="29">
        <f>MONTH(W_カレンダー[[#This Row],[日付]])</f>
        <v>3</v>
      </c>
      <c r="C1816" s="1">
        <f>YEAR(W_カレンダー[[#This Row],[日付]])</f>
        <v>2028</v>
      </c>
      <c r="D1816" s="1">
        <f>IF(W_カレンダー[[#This Row],[月]]&lt;=3,W_カレンダー[[#This Row],[暦年]]-1,W_カレンダー[[#This Row],[暦年]])</f>
        <v>2027</v>
      </c>
      <c r="E1816" s="1" t="str">
        <f>IF(W_カレンダー[[#This Row],[月]]&lt;=3,"Q4",IF(W_カレンダー[[#This Row],[月]]&lt;=6,"Q1",IF(W_カレンダー[[#This Row],[月]]&lt;=9,"Q2","Q3")))</f>
        <v>Q4</v>
      </c>
    </row>
    <row r="1817" spans="1:5" ht="18" customHeight="1" x14ac:dyDescent="0.25">
      <c r="A1817" s="27">
        <v>46832</v>
      </c>
      <c r="B1817" s="29">
        <f>MONTH(W_カレンダー[[#This Row],[日付]])</f>
        <v>3</v>
      </c>
      <c r="C1817" s="1">
        <f>YEAR(W_カレンダー[[#This Row],[日付]])</f>
        <v>2028</v>
      </c>
      <c r="D1817" s="1">
        <f>IF(W_カレンダー[[#This Row],[月]]&lt;=3,W_カレンダー[[#This Row],[暦年]]-1,W_カレンダー[[#This Row],[暦年]])</f>
        <v>2027</v>
      </c>
      <c r="E1817" s="1" t="str">
        <f>IF(W_カレンダー[[#This Row],[月]]&lt;=3,"Q4",IF(W_カレンダー[[#This Row],[月]]&lt;=6,"Q1",IF(W_カレンダー[[#This Row],[月]]&lt;=9,"Q2","Q3")))</f>
        <v>Q4</v>
      </c>
    </row>
    <row r="1818" spans="1:5" ht="18" customHeight="1" x14ac:dyDescent="0.25">
      <c r="A1818" s="27">
        <v>46833</v>
      </c>
      <c r="B1818" s="29">
        <f>MONTH(W_カレンダー[[#This Row],[日付]])</f>
        <v>3</v>
      </c>
      <c r="C1818" s="1">
        <f>YEAR(W_カレンダー[[#This Row],[日付]])</f>
        <v>2028</v>
      </c>
      <c r="D1818" s="1">
        <f>IF(W_カレンダー[[#This Row],[月]]&lt;=3,W_カレンダー[[#This Row],[暦年]]-1,W_カレンダー[[#This Row],[暦年]])</f>
        <v>2027</v>
      </c>
      <c r="E1818" s="1" t="str">
        <f>IF(W_カレンダー[[#This Row],[月]]&lt;=3,"Q4",IF(W_カレンダー[[#This Row],[月]]&lt;=6,"Q1",IF(W_カレンダー[[#This Row],[月]]&lt;=9,"Q2","Q3")))</f>
        <v>Q4</v>
      </c>
    </row>
    <row r="1819" spans="1:5" ht="18" customHeight="1" x14ac:dyDescent="0.25">
      <c r="A1819" s="27">
        <v>46834</v>
      </c>
      <c r="B1819" s="29">
        <f>MONTH(W_カレンダー[[#This Row],[日付]])</f>
        <v>3</v>
      </c>
      <c r="C1819" s="1">
        <f>YEAR(W_カレンダー[[#This Row],[日付]])</f>
        <v>2028</v>
      </c>
      <c r="D1819" s="1">
        <f>IF(W_カレンダー[[#This Row],[月]]&lt;=3,W_カレンダー[[#This Row],[暦年]]-1,W_カレンダー[[#This Row],[暦年]])</f>
        <v>2027</v>
      </c>
      <c r="E1819" s="1" t="str">
        <f>IF(W_カレンダー[[#This Row],[月]]&lt;=3,"Q4",IF(W_カレンダー[[#This Row],[月]]&lt;=6,"Q1",IF(W_カレンダー[[#This Row],[月]]&lt;=9,"Q2","Q3")))</f>
        <v>Q4</v>
      </c>
    </row>
    <row r="1820" spans="1:5" ht="18" customHeight="1" x14ac:dyDescent="0.25">
      <c r="A1820" s="27">
        <v>46835</v>
      </c>
      <c r="B1820" s="29">
        <f>MONTH(W_カレンダー[[#This Row],[日付]])</f>
        <v>3</v>
      </c>
      <c r="C1820" s="1">
        <f>YEAR(W_カレンダー[[#This Row],[日付]])</f>
        <v>2028</v>
      </c>
      <c r="D1820" s="1">
        <f>IF(W_カレンダー[[#This Row],[月]]&lt;=3,W_カレンダー[[#This Row],[暦年]]-1,W_カレンダー[[#This Row],[暦年]])</f>
        <v>2027</v>
      </c>
      <c r="E1820" s="1" t="str">
        <f>IF(W_カレンダー[[#This Row],[月]]&lt;=3,"Q4",IF(W_カレンダー[[#This Row],[月]]&lt;=6,"Q1",IF(W_カレンダー[[#This Row],[月]]&lt;=9,"Q2","Q3")))</f>
        <v>Q4</v>
      </c>
    </row>
    <row r="1821" spans="1:5" ht="18" customHeight="1" x14ac:dyDescent="0.25">
      <c r="A1821" s="27">
        <v>46836</v>
      </c>
      <c r="B1821" s="29">
        <f>MONTH(W_カレンダー[[#This Row],[日付]])</f>
        <v>3</v>
      </c>
      <c r="C1821" s="1">
        <f>YEAR(W_カレンダー[[#This Row],[日付]])</f>
        <v>2028</v>
      </c>
      <c r="D1821" s="1">
        <f>IF(W_カレンダー[[#This Row],[月]]&lt;=3,W_カレンダー[[#This Row],[暦年]]-1,W_カレンダー[[#This Row],[暦年]])</f>
        <v>2027</v>
      </c>
      <c r="E1821" s="1" t="str">
        <f>IF(W_カレンダー[[#This Row],[月]]&lt;=3,"Q4",IF(W_カレンダー[[#This Row],[月]]&lt;=6,"Q1",IF(W_カレンダー[[#This Row],[月]]&lt;=9,"Q2","Q3")))</f>
        <v>Q4</v>
      </c>
    </row>
    <row r="1822" spans="1:5" ht="18" customHeight="1" x14ac:dyDescent="0.25">
      <c r="A1822" s="27">
        <v>46837</v>
      </c>
      <c r="B1822" s="29">
        <f>MONTH(W_カレンダー[[#This Row],[日付]])</f>
        <v>3</v>
      </c>
      <c r="C1822" s="1">
        <f>YEAR(W_カレンダー[[#This Row],[日付]])</f>
        <v>2028</v>
      </c>
      <c r="D1822" s="1">
        <f>IF(W_カレンダー[[#This Row],[月]]&lt;=3,W_カレンダー[[#This Row],[暦年]]-1,W_カレンダー[[#This Row],[暦年]])</f>
        <v>2027</v>
      </c>
      <c r="E1822" s="1" t="str">
        <f>IF(W_カレンダー[[#This Row],[月]]&lt;=3,"Q4",IF(W_カレンダー[[#This Row],[月]]&lt;=6,"Q1",IF(W_カレンダー[[#This Row],[月]]&lt;=9,"Q2","Q3")))</f>
        <v>Q4</v>
      </c>
    </row>
    <row r="1823" spans="1:5" ht="18" customHeight="1" x14ac:dyDescent="0.25">
      <c r="A1823" s="27">
        <v>46838</v>
      </c>
      <c r="B1823" s="29">
        <f>MONTH(W_カレンダー[[#This Row],[日付]])</f>
        <v>3</v>
      </c>
      <c r="C1823" s="1">
        <f>YEAR(W_カレンダー[[#This Row],[日付]])</f>
        <v>2028</v>
      </c>
      <c r="D1823" s="1">
        <f>IF(W_カレンダー[[#This Row],[月]]&lt;=3,W_カレンダー[[#This Row],[暦年]]-1,W_カレンダー[[#This Row],[暦年]])</f>
        <v>2027</v>
      </c>
      <c r="E1823" s="1" t="str">
        <f>IF(W_カレンダー[[#This Row],[月]]&lt;=3,"Q4",IF(W_カレンダー[[#This Row],[月]]&lt;=6,"Q1",IF(W_カレンダー[[#This Row],[月]]&lt;=9,"Q2","Q3")))</f>
        <v>Q4</v>
      </c>
    </row>
    <row r="1824" spans="1:5" ht="18" customHeight="1" x14ac:dyDescent="0.25">
      <c r="A1824" s="27">
        <v>46839</v>
      </c>
      <c r="B1824" s="29">
        <f>MONTH(W_カレンダー[[#This Row],[日付]])</f>
        <v>3</v>
      </c>
      <c r="C1824" s="1">
        <f>YEAR(W_カレンダー[[#This Row],[日付]])</f>
        <v>2028</v>
      </c>
      <c r="D1824" s="1">
        <f>IF(W_カレンダー[[#This Row],[月]]&lt;=3,W_カレンダー[[#This Row],[暦年]]-1,W_カレンダー[[#This Row],[暦年]])</f>
        <v>2027</v>
      </c>
      <c r="E1824" s="1" t="str">
        <f>IF(W_カレンダー[[#This Row],[月]]&lt;=3,"Q4",IF(W_カレンダー[[#This Row],[月]]&lt;=6,"Q1",IF(W_カレンダー[[#This Row],[月]]&lt;=9,"Q2","Q3")))</f>
        <v>Q4</v>
      </c>
    </row>
    <row r="1825" spans="1:5" ht="18" customHeight="1" x14ac:dyDescent="0.25">
      <c r="A1825" s="27">
        <v>46840</v>
      </c>
      <c r="B1825" s="29">
        <f>MONTH(W_カレンダー[[#This Row],[日付]])</f>
        <v>3</v>
      </c>
      <c r="C1825" s="1">
        <f>YEAR(W_カレンダー[[#This Row],[日付]])</f>
        <v>2028</v>
      </c>
      <c r="D1825" s="1">
        <f>IF(W_カレンダー[[#This Row],[月]]&lt;=3,W_カレンダー[[#This Row],[暦年]]-1,W_カレンダー[[#This Row],[暦年]])</f>
        <v>2027</v>
      </c>
      <c r="E1825" s="1" t="str">
        <f>IF(W_カレンダー[[#This Row],[月]]&lt;=3,"Q4",IF(W_カレンダー[[#This Row],[月]]&lt;=6,"Q1",IF(W_カレンダー[[#This Row],[月]]&lt;=9,"Q2","Q3")))</f>
        <v>Q4</v>
      </c>
    </row>
    <row r="1826" spans="1:5" ht="18" customHeight="1" x14ac:dyDescent="0.25">
      <c r="A1826" s="27">
        <v>46841</v>
      </c>
      <c r="B1826" s="29">
        <f>MONTH(W_カレンダー[[#This Row],[日付]])</f>
        <v>3</v>
      </c>
      <c r="C1826" s="1">
        <f>YEAR(W_カレンダー[[#This Row],[日付]])</f>
        <v>2028</v>
      </c>
      <c r="D1826" s="1">
        <f>IF(W_カレンダー[[#This Row],[月]]&lt;=3,W_カレンダー[[#This Row],[暦年]]-1,W_カレンダー[[#This Row],[暦年]])</f>
        <v>2027</v>
      </c>
      <c r="E1826" s="1" t="str">
        <f>IF(W_カレンダー[[#This Row],[月]]&lt;=3,"Q4",IF(W_カレンダー[[#This Row],[月]]&lt;=6,"Q1",IF(W_カレンダー[[#This Row],[月]]&lt;=9,"Q2","Q3")))</f>
        <v>Q4</v>
      </c>
    </row>
    <row r="1827" spans="1:5" ht="18" customHeight="1" x14ac:dyDescent="0.25">
      <c r="A1827" s="27">
        <v>46842</v>
      </c>
      <c r="B1827" s="29">
        <f>MONTH(W_カレンダー[[#This Row],[日付]])</f>
        <v>3</v>
      </c>
      <c r="C1827" s="1">
        <f>YEAR(W_カレンダー[[#This Row],[日付]])</f>
        <v>2028</v>
      </c>
      <c r="D1827" s="1">
        <f>IF(W_カレンダー[[#This Row],[月]]&lt;=3,W_カレンダー[[#This Row],[暦年]]-1,W_カレンダー[[#This Row],[暦年]])</f>
        <v>2027</v>
      </c>
      <c r="E1827" s="1" t="str">
        <f>IF(W_カレンダー[[#This Row],[月]]&lt;=3,"Q4",IF(W_カレンダー[[#This Row],[月]]&lt;=6,"Q1",IF(W_カレンダー[[#This Row],[月]]&lt;=9,"Q2","Q3")))</f>
        <v>Q4</v>
      </c>
    </row>
    <row r="1828" spans="1:5" ht="18" customHeight="1" x14ac:dyDescent="0.25">
      <c r="A1828" s="27">
        <v>46843</v>
      </c>
      <c r="B1828" s="29">
        <f>MONTH(W_カレンダー[[#This Row],[日付]])</f>
        <v>3</v>
      </c>
      <c r="C1828" s="1">
        <f>YEAR(W_カレンダー[[#This Row],[日付]])</f>
        <v>2028</v>
      </c>
      <c r="D1828" s="1">
        <f>IF(W_カレンダー[[#This Row],[月]]&lt;=3,W_カレンダー[[#This Row],[暦年]]-1,W_カレンダー[[#This Row],[暦年]])</f>
        <v>2027</v>
      </c>
      <c r="E1828" s="1" t="str">
        <f>IF(W_カレンダー[[#This Row],[月]]&lt;=3,"Q4",IF(W_カレンダー[[#This Row],[月]]&lt;=6,"Q1",IF(W_カレンダー[[#This Row],[月]]&lt;=9,"Q2","Q3")))</f>
        <v>Q4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表1</vt:lpstr>
      <vt:lpstr>表2</vt:lpstr>
      <vt:lpstr>表3</vt:lpstr>
      <vt:lpstr>名簿1</vt:lpstr>
      <vt:lpstr>罫線1</vt:lpstr>
      <vt:lpstr>罫線2</vt:lpstr>
      <vt:lpstr>W_カレンダー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 ENDO</dc:creator>
  <cp:lastModifiedBy>Kazu ENDO</cp:lastModifiedBy>
  <dcterms:created xsi:type="dcterms:W3CDTF">2025-09-24T15:25:56Z</dcterms:created>
  <dcterms:modified xsi:type="dcterms:W3CDTF">2025-10-27T12:45:54Z</dcterms:modified>
</cp:coreProperties>
</file>